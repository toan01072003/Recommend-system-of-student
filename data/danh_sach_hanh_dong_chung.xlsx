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047fcc692b44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65f6ac78eb3c453f"/>
    <x:sheet xmlns:r="http://schemas.openxmlformats.org/officeDocument/2006/relationships" name="Hành động chung" sheetId="2" r:id="Ra7be2ebb29a54501"/>
    <x:sheet xmlns:r="http://schemas.openxmlformats.org/officeDocument/2006/relationships" name="Ánh xạ nghề" sheetId="3" r:id="R5c7b4bc076ba4efc"/>
    <x:sheet xmlns:r="http://schemas.openxmlformats.org/officeDocument/2006/relationships" name="Phản hồi học sinh" sheetId="4" r:id="R3104209f4f6f4633"/>
    <x:sheet xmlns:r="http://schemas.openxmlformats.org/officeDocument/2006/relationships" name="Tổng hợp" sheetId="5" r:id="R7dfd6831312c4a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8FC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CE4D6"/>
      </x:patternFill>
    </x:fill>
  </x:fills>
  <x:borders count="50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1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2" fillId="2" borderId="14" xfId="0" applyNumberFormat="1" applyFont="1" applyFill="1" applyBorder="1" applyAlignment="1">
      <x:alignment horizontal="center" vertical="center" wrapText="1"/>
    </x:xf>
    <x:xf numFmtId="0" fontId="2" fillId="2" borderId="15" xfId="0" applyNumberFormat="1" applyFont="1" applyFill="1" applyBorder="1" applyAlignment="1">
      <x:alignment horizontal="center" vertical="center" wrapText="1"/>
    </x:xf>
    <x:xf numFmtId="0" fontId="2" fillId="2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0" fontId="0" fillId="0" borderId="0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2" fillId="2" borderId="22" xfId="0" applyNumberFormat="1" applyFont="1" applyFill="1" applyBorder="1" applyAlignment="1">
      <x:alignment horizontal="center" vertical="center" wrapText="1"/>
    </x:xf>
    <x:xf numFmtId="0" fontId="2" fillId="2" borderId="23" xfId="0" applyNumberFormat="1" applyFont="1" applyFill="1" applyBorder="1" applyAlignment="1">
      <x:alignment horizontal="center" vertical="center" wrapText="1"/>
    </x:xf>
    <x:xf numFmtId="0" fontId="2" fillId="2" borderId="24" xfId="0" applyNumberFormat="1" applyFont="1" applyFill="1" applyBorder="1" applyAlignment="1">
      <x:alignment horizontal="center" vertical="center" wrapText="1"/>
    </x:xf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 applyAlignment="1">
      <x:alignment horizontal="center"/>
    </x:xf>
    <x:xf numFmtId="0" fontId="0" fillId="0" borderId="27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vertical="center" wrapText="1"/>
    </x:xf>
    <x:xf numFmtId="0" fontId="0" fillId="3" borderId="17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8" xfId="0" applyNumberFormat="1" applyFont="1" applyFill="1" applyBorder="1" applyAlignment="1">
      <x:alignment vertical="center" wrapText="1"/>
    </x:xf>
    <x:xf numFmtId="0" fontId="0" fillId="3" borderId="25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vertical="center" wrapText="1"/>
    </x:xf>
    <x:xf numFmtId="0" fontId="0" fillId="3" borderId="26" xfId="0" applyNumberFormat="1" applyFont="1" applyFill="1" applyBorder="1" applyAlignment="1">
      <x:alignment vertical="center" wrapText="1"/>
    </x:xf>
    <x:xf numFmtId="0" fontId="0" fillId="4" borderId="17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8" xfId="0" applyNumberFormat="1" applyFont="1" applyFill="1" applyBorder="1" applyAlignment="1">
      <x:alignment vertical="center" wrapText="1"/>
    </x:xf>
    <x:xf numFmtId="0" fontId="0" fillId="4" borderId="25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26" xfId="0" applyNumberFormat="1" applyFont="1" applyFill="1" applyBorder="1" applyAlignment="1">
      <x:alignment vertical="center" wrapText="1"/>
    </x:xf>
    <x:xf numFmtId="0" fontId="0" fillId="4" borderId="19" xfId="0" applyNumberFormat="1" applyFont="1" applyFill="1" applyBorder="1" applyAlignment="1">
      <x:alignment horizontal="center" vertical="center"/>
    </x:xf>
    <x:xf numFmtId="0" fontId="0" fillId="4" borderId="20" xfId="0" applyNumberFormat="1" applyFont="1" applyFill="1" applyBorder="1" applyAlignment="1">
      <x:alignment vertical="center" wrapText="1"/>
    </x:xf>
    <x:xf numFmtId="0" fontId="0" fillId="4" borderId="21" xfId="0" applyNumberFormat="1" applyFont="1" applyFill="1" applyBorder="1" applyAlignment="1">
      <x:alignment vertical="center" wrapText="1"/>
    </x:xf>
    <x:xf numFmtId="0" fontId="0" fillId="4" borderId="27" xfId="0" applyNumberFormat="1" applyFont="1" applyFill="1" applyBorder="1" applyAlignment="1">
      <x:alignment horizontal="center" vertical="center"/>
    </x:xf>
    <x:xf numFmtId="0" fontId="0" fillId="4" borderId="28" xfId="0" applyNumberFormat="1" applyFont="1" applyFill="1" applyBorder="1" applyAlignment="1">
      <x:alignment vertical="center" wrapText="1"/>
    </x:xf>
    <x:xf numFmtId="0" fontId="0" fillId="4" borderId="29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2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28" xfId="0" applyNumberFormat="1" applyFont="1" applyFill="1" applyBorder="1" applyAlignment="1">
      <x:alignment wrapText="1"/>
    </x:xf>
    <x:xf numFmtId="0" fontId="2" fillId="2" borderId="30" xfId="0" applyNumberFormat="1" applyFont="1" applyFill="1" applyBorder="1" applyAlignment="1">
      <x:alignment horizontal="center" vertical="center" wrapText="1"/>
    </x:xf>
    <x:xf numFmtId="0" fontId="2" fillId="2" borderId="31" xfId="0" applyNumberFormat="1" applyFont="1" applyFill="1" applyBorder="1" applyAlignment="1">
      <x:alignment horizontal="center" vertical="center" wrapText="1"/>
    </x:xf>
    <x:xf numFmtId="0" fontId="2" fillId="2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2" fillId="2" borderId="38" xfId="0" applyNumberFormat="1" applyFont="1" applyFill="1" applyBorder="1" applyAlignment="1">
      <x:alignment horizontal="center" vertical="center" wrapText="1"/>
    </x:xf>
    <x:xf numFmtId="0" fontId="2" fillId="2" borderId="39" xfId="0" applyNumberFormat="1" applyFont="1" applyFill="1" applyBorder="1" applyAlignment="1">
      <x:alignment horizontal="center" vertical="center" wrapText="1"/>
    </x:xf>
    <x:xf numFmtId="0" fontId="2" fillId="2" borderId="40" xfId="0" applyNumberFormat="1" applyFont="1" applyFill="1" applyBorder="1" applyAlignment="1">
      <x:alignment horizontal="center" vertical="center" wrapText="1"/>
    </x:xf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45" xfId="0" applyNumberFormat="1" applyFont="1" applyFill="1" applyBorder="1"/>
    <x:xf numFmtId="0" fontId="0" fillId="0" borderId="3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34" xfId="0" applyNumberFormat="1" applyFont="1" applyFill="1" applyBorder="1" applyAlignment="1">
      <x:alignment vertical="center"/>
    </x:xf>
    <x:xf numFmtId="0" fontId="0" fillId="0" borderId="35" xfId="0" applyNumberFormat="1" applyFont="1" applyFill="1" applyBorder="1" applyAlignment="1">
      <x:alignment vertical="center"/>
    </x:xf>
    <x:xf numFmtId="0" fontId="0" fillId="0" borderId="36" xfId="0" applyNumberFormat="1" applyFont="1" applyFill="1" applyBorder="1" applyAlignment="1">
      <x:alignment vertical="center"/>
    </x:xf>
    <x:xf numFmtId="0" fontId="0" fillId="0" borderId="37" xfId="0" applyNumberFormat="1" applyFont="1" applyFill="1" applyBorder="1" applyAlignment="1">
      <x:alignment vertical="center"/>
    </x:xf>
    <x:xf numFmtId="0" fontId="0" fillId="0" borderId="4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42" xfId="0" applyNumberFormat="1" applyFont="1" applyFill="1" applyBorder="1" applyAlignment="1">
      <x:alignment vertical="center"/>
    </x:xf>
    <x:xf numFmtId="0" fontId="0" fillId="0" borderId="43" xfId="0" applyNumberFormat="1" applyFont="1" applyFill="1" applyBorder="1" applyAlignment="1">
      <x:alignment vertical="center"/>
    </x:xf>
    <x:xf numFmtId="0" fontId="0" fillId="0" borderId="44" xfId="0" applyNumberFormat="1" applyFont="1" applyFill="1" applyBorder="1" applyAlignment="1">
      <x:alignment vertical="center"/>
    </x:xf>
    <x:xf numFmtId="0" fontId="0" fillId="0" borderId="45" xfId="0" applyNumberFormat="1" applyFont="1" applyFill="1" applyBorder="1" applyAlignment="1">
      <x:alignment vertical="center"/>
    </x:xf>
    <x:xf numFmtId="0" fontId="0" fillId="0" borderId="36" xfId="0" applyNumberFormat="1" applyFont="1" applyFill="1" applyBorder="1" applyAlignment="1">
      <x:alignment vertical="center" wrapText="1"/>
    </x:xf>
    <x:xf numFmtId="0" fontId="0" fillId="0" borderId="44" xfId="0" applyNumberFormat="1" applyFont="1" applyFill="1" applyBorder="1" applyAlignment="1">
      <x:alignment vertical="center" wrapText="1"/>
    </x:xf>
    <x:xf numFmtId="0" fontId="0" fillId="0" borderId="34" xfId="0" applyNumberFormat="1" applyFont="1" applyFill="1" applyBorder="1" applyAlignment="1">
      <x:alignment vertical="center" wrapText="1"/>
    </x:xf>
    <x:xf numFmtId="0" fontId="0" fillId="0" borderId="37" xfId="0" applyNumberFormat="1" applyFont="1" applyFill="1" applyBorder="1" applyAlignment="1">
      <x:alignment vertical="center" wrapText="1"/>
    </x:xf>
    <x:xf numFmtId="0" fontId="0" fillId="0" borderId="42" xfId="0" applyNumberFormat="1" applyFont="1" applyFill="1" applyBorder="1" applyAlignment="1">
      <x:alignment vertical="center" wrapText="1"/>
    </x:xf>
    <x:xf numFmtId="0" fontId="0" fillId="0" borderId="45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2" fillId="2" borderId="46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7" xfId="0" applyNumberFormat="1" applyFont="1" applyFill="1" applyBorder="1"/>
    <x:xf numFmtId="0" fontId="0" fillId="0" borderId="7" xfId="0" applyNumberFormat="1" applyFont="1" applyFill="1" applyBorder="1"/>
    <x:xf numFmtId="0" fontId="2" fillId="2" borderId="48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9" xfId="0" applyNumberFormat="1" applyFont="1" applyFill="1" applyBorder="1"/>
    <x:xf numFmtId="0" fontId="0" fillId="0" borderId="13" xfId="0" applyNumberFormat="1" applyFont="1" applyFill="1" applyBorder="1"/>
    <x:xf numFmtId="0" fontId="0" fillId="0" borderId="47" xfId="0" applyNumberFormat="1" applyFont="1" applyFill="1" applyBorder="1" applyAlignment="1">
      <x:alignment wrapText="1"/>
    </x:xf>
    <x:xf numFmtId="0" fontId="0" fillId="0" borderId="49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47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4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0a763713a543cd" /><Relationship Type="http://schemas.openxmlformats.org/officeDocument/2006/relationships/theme" Target="/xl/theme/theme1.xml" Id="R8af17f97be544a1f" /><Relationship Type="http://schemas.openxmlformats.org/officeDocument/2006/relationships/sharedStrings" Target="/xl/sharedStrings.xml" Id="Rff9ef1f1b8b74737" /><Relationship Type="http://schemas.openxmlformats.org/officeDocument/2006/relationships/worksheet" Target="/xl/worksheets/sheet1.xml" Id="R65f6ac78eb3c453f" /><Relationship Type="http://schemas.openxmlformats.org/officeDocument/2006/relationships/worksheet" Target="/xl/worksheets/sheet2.xml" Id="Ra7be2ebb29a54501" /><Relationship Type="http://schemas.openxmlformats.org/officeDocument/2006/relationships/worksheet" Target="/xl/worksheets/sheet3.xml" Id="R5c7b4bc076ba4efc" /><Relationship Type="http://schemas.openxmlformats.org/officeDocument/2006/relationships/worksheet" Target="/xl/worksheets/sheet4.xml" Id="R3104209f4f6f4633" /><Relationship Type="http://schemas.openxmlformats.org/officeDocument/2006/relationships/worksheet" Target="/xl/worksheets/sheet5.xml" Id="R7dfd6831312c4a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d066844bd5443d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Điểm hứng thú trung bình theo nhóm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Số phản hồi</c:v>
          </c:tx>
          <c:cat>
            <c:strRef>
              <c:f>'Tổng hợp'!$A$4:$A$15</c:f>
              <c:strCache>
                <c:ptCount val="0"/>
              </c:strCache>
            </c:strRef>
          </c:cat>
          <c:val>
            <c:numRef>
              <c:f>'Tổng hợp'!$B$4:$B$15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Điểm trung bình</c:v>
          </c:tx>
          <c:cat>
            <c:strRef>
              <c:f>'Tổng hợp'!$A$4:$A$15</c:f>
              <c:strCache>
                <c:ptCount val="0"/>
              </c:strCache>
            </c:strRef>
          </c:cat>
          <c:val>
            <c:numRef>
              <c:f>'Tổng hợp'!$C$4:$C$15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066844bd5443d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tionCatalog" displayName="ActionCatalog" ref="A1:D98" headerRowCount="1">
  <x:tableColumns count="4">
    <x:tableColumn id="1" name="Mã"/>
    <x:tableColumn id="2" name="Hành động chung"/>
    <x:tableColumn id="3" name="Nhóm hành động"/>
    <x:tableColumn id="4" name="Ví dụ mô tả"/>
  </x:tableColumns>
  <x:tableStyleInfo name="TableStyleMedium2" showRowStripes="1"/>
</x:table>
</file>

<file path=xl/tables/table2.xml><?xml version="1.0" encoding="utf-8"?>
<x:table xmlns:x="http://schemas.openxmlformats.org/spreadsheetml/2006/main" id="2" name="CareerMapping" displayName="CareerMapping" ref="A1:G26" headerRowCount="1">
  <x:tableColumns count="7">
    <x:tableColumn id="1" name="Nghề"/>
    <x:tableColumn id="2" name="Hành động nghề nghiệp"/>
    <x:tableColumn id="3" name="Mã hành động chung"/>
    <x:tableColumn id="4" name="Hành động chung"/>
    <x:tableColumn id="5" name="Nhóm hành động"/>
    <x:tableColumn id="6" name="Trọng số gợi ý"/>
    <x:tableColumn id="7" name="Ý nghĩa quan sát"/>
  </x:tableColumns>
  <x:tableStyleInfo name="TableStyleMedium2" showRowStripes="1"/>
</x:table>
</file>

<file path=xl/tables/table3.xml><?xml version="1.0" encoding="utf-8"?>
<x:table xmlns:x="http://schemas.openxmlformats.org/spreadsheetml/2006/main" id="3" name="StudentFeedback" displayName="StudentFeedback" ref="A1:N201" headerRowCount="1">
  <x:tableColumns count="14">
    <x:tableColumn id="1" name="Mã học sinh"/>
    <x:tableColumn id="2" name="Khối"/>
    <x:tableColumn id="3" name="Nghề mô phỏng"/>
    <x:tableColumn id="4" name="Hành động nghề nghiệp"/>
    <x:tableColumn id="5" name="Mã hành động chung"/>
    <x:tableColumn id="6" name="Hành động chung"/>
    <x:tableColumn id="7" name="Nhóm hành động"/>
    <x:tableColumn id="8" name="Cảm xúc"/>
    <x:tableColumn id="9" name="Điểm cảm xúc"/>
    <x:tableColumn id="10" name="Lý do"/>
    <x:tableColumn id="11" name="Mức trải nghiệm"/>
    <x:tableColumn id="12" name="Độ chắc chắn"/>
    <x:tableColumn id="13" name="Điểm có trọng số"/>
    <x:tableColumn id="14" name="Ghi chú quan sá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37e0f6c71542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9a370f73e045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5c06eacb5b4d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75e131008ae5495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 ht="34" customHeight="1">
      <x:c r="A1" s="5" t="str">
        <x:v>BỘ HÀNH ĐỘNG CHUNG PHÂN TÍCH SỞ THÍCH NGHỀ NGHIỆP</x:v>
      </x:c>
      <x:c r="B1" s="5"/>
      <x:c r="C1" s="5"/>
      <x:c r="D1" s="5"/>
      <x:c r="E1" s="5"/>
      <x:c r="F1" s="5"/>
    </x:row>
    <x:row r="3">
      <x:c r="A3" s="20" t="str">
        <x:v>Nội dung</x:v>
      </x:c>
      <x:c r="B3" s="21" t="str">
        <x:v>Mô tả</x:v>
      </x:c>
    </x:row>
    <x:row r="4" ht="34" customHeight="1">
      <x:c r="A4" s="32" t="str">
        <x:v>Hành động chung</x:v>
      </x:c>
      <x:c r="B4" s="23" t="str">
        <x:v>Danh mục 97 hành động có thể xuất hiện trong nhiều nghề khác nhau.</x:v>
      </x:c>
    </x:row>
    <x:row r="5" ht="34" customHeight="1">
      <x:c r="A5" s="32" t="str">
        <x:v>Ánh xạ nghề</x:v>
      </x:c>
      <x:c r="B5" s="23" t="str">
        <x:v>Ví dụ tách các hoạt động của nghề Nhà nghiên cứu thành hành động chung.</x:v>
      </x:c>
    </x:row>
    <x:row r="6" ht="34" customHeight="1">
      <x:c r="A6" s="32" t="str">
        <x:v>Phản hồi học sinh</x:v>
      </x:c>
      <x:c r="B6" s="23" t="str">
        <x:v>Mẫu nhập cảm xúc, mức trải nghiệm, độ chắc chắn và lý do của học sinh.</x:v>
      </x:c>
    </x:row>
    <x:row r="7" ht="34" customHeight="1">
      <x:c r="A7" s="32" t="str">
        <x:v>Tổng hợp</x:v>
      </x:c>
      <x:c r="B7" s="23" t="str">
        <x:v>Tự động tính số phản hồi và điểm trung bình theo từng nhóm hành động.</x:v>
      </x:c>
    </x:row>
    <x:row r="8" ht="34" customHeight="1">
      <x:c r="A8" s="32" t="str">
        <x:v>Nguyên tắc</x:v>
      </x:c>
      <x:c r="B8" s="23" t="str">
        <x:v>Không dùng một phản hồi duy nhất để kết luận tính cách hoặc nghề phù hợp.</x:v>
      </x:c>
    </x:row>
    <x:row r="9" ht="34" customHeight="1">
      <x:c r="A9" s="33" t="str">
        <x:v>Lưu ý</x:v>
      </x:c>
      <x:c r="B9" s="25" t="str">
        <x:v>Không thích một nhiệm vụ có thể do khó, chưa hiểu, ít trải nghiệm hoặc không thích bối cảnh thực hiện.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38" hidden="0" customWidth="1"/>
    <x:col min="4" max="4" width="62" hidden="0" customWidth="1"/>
  </x:cols>
  <x:sheetData>
    <x:row r="1">
      <x:c r="A1" s="36" t="str">
        <x:v>Mã</x:v>
      </x:c>
      <x:c r="B1" s="37" t="str">
        <x:v>Hành động chung</x:v>
      </x:c>
      <x:c r="C1" s="37" t="str">
        <x:v>Nhóm hành động</x:v>
      </x:c>
      <x:c r="D1" s="38" t="str">
        <x:v>Ví dụ mô tả</x:v>
      </x:c>
    </x:row>
    <x:row r="2">
      <x:c r="A2" s="75" t="str">
        <x:v>EXP01</x:v>
      </x:c>
      <x:c r="B2" s="76" t="str">
        <x:v>Khám phá điều mới</x:v>
      </x:c>
      <x:c r="C2" s="76" t="str">
        <x:v>Khám phá và tìm hiểu</x:v>
      </x:c>
      <x:c r="D2" s="77" t="str">
        <x:v>Tìm hiểu hiện tượng lạ, công nghệ mới hoặc địa điểm mới</x:v>
      </x:c>
    </x:row>
    <x:row r="3">
      <x:c r="A3" s="75" t="str">
        <x:v>EXP02</x:v>
      </x:c>
      <x:c r="B3" s="76" t="str">
        <x:v>Đọc và tìm kiếm thông tin</x:v>
      </x:c>
      <x:c r="C3" s="76" t="str">
        <x:v>Khám phá và tìm hiểu</x:v>
      </x:c>
      <x:c r="D3" s="77" t="str">
        <x:v>Đọc sách, tra cứu tài liệu hoặc tìm thông tin trên Internet</x:v>
      </x:c>
    </x:row>
    <x:row r="4">
      <x:c r="A4" s="75" t="str">
        <x:v>EXP03</x:v>
      </x:c>
      <x:c r="B4" s="76" t="str">
        <x:v>Quan sát chi tiết</x:v>
      </x:c>
      <x:c r="C4" s="76" t="str">
        <x:v>Khám phá và tìm hiểu</x:v>
      </x:c>
      <x:c r="D4" s="77" t="str">
        <x:v>Quan sát cây cối, hành vi con người, hình ảnh hoặc máy móc</x:v>
      </x:c>
    </x:row>
    <x:row r="5">
      <x:c r="A5" s="75" t="str">
        <x:v>EXP04</x:v>
      </x:c>
      <x:c r="B5" s="76" t="str">
        <x:v>Đặt câu hỏi</x:v>
      </x:c>
      <x:c r="C5" s="76" t="str">
        <x:v>Khám phá và tìm hiểu</x:v>
      </x:c>
      <x:c r="D5" s="77" t="str">
        <x:v>Hỏi tại sao, như thế nào hoặc điều gì sẽ xảy ra nếu</x:v>
      </x:c>
    </x:row>
    <x:row r="6">
      <x:c r="A6" s="75" t="str">
        <x:v>EXP05</x:v>
      </x:c>
      <x:c r="B6" s="76" t="str">
        <x:v>Tìm nguyên nhân</x:v>
      </x:c>
      <x:c r="C6" s="76" t="str">
        <x:v>Khám phá và tìm hiểu</x:v>
      </x:c>
      <x:c r="D6" s="77" t="str">
        <x:v>Tìm lý do một hiện tượng hoặc sự cố xảy ra</x:v>
      </x:c>
    </x:row>
    <x:row r="7">
      <x:c r="A7" s="75" t="str">
        <x:v>EXP06</x:v>
      </x:c>
      <x:c r="B7" s="76" t="str">
        <x:v>Thử nghiệm điều chưa biết</x:v>
      </x:c>
      <x:c r="C7" s="76" t="str">
        <x:v>Khám phá và tìm hiểu</x:v>
      </x:c>
      <x:c r="D7" s="77" t="str">
        <x:v>Thử phương pháp mới để xem kết quả</x:v>
      </x:c>
    </x:row>
    <x:row r="8">
      <x:c r="A8" s="75" t="str">
        <x:v>EXP07</x:v>
      </x:c>
      <x:c r="B8" s="76" t="str">
        <x:v>Khám phá nhiều khả năng</x:v>
      </x:c>
      <x:c r="C8" s="76" t="str">
        <x:v>Khám phá và tìm hiểu</x:v>
      </x:c>
      <x:c r="D8" s="77" t="str">
        <x:v>Xem xét nhiều lời giải thay vì chỉ một đáp án</x:v>
      </x:c>
    </x:row>
    <x:row r="9">
      <x:c r="A9" s="81" t="str">
        <x:v>ANA01</x:v>
      </x:c>
      <x:c r="B9" s="82" t="str">
        <x:v>Phân tích thông tin</x:v>
      </x:c>
      <x:c r="C9" s="82" t="str">
        <x:v>Phân tích và giải quyết vấn đề</x:v>
      </x:c>
      <x:c r="D9" s="83" t="str">
        <x:v>Chia một vấn đề thành các phần nhỏ</x:v>
      </x:c>
    </x:row>
    <x:row r="10">
      <x:c r="A10" s="81" t="str">
        <x:v>ANA02</x:v>
      </x:c>
      <x:c r="B10" s="82" t="str">
        <x:v>So sánh các lựa chọn</x:v>
      </x:c>
      <x:c r="C10" s="82" t="str">
        <x:v>Phân tích và giải quyết vấn đề</x:v>
      </x:c>
      <x:c r="D10" s="83" t="str">
        <x:v>So sánh ưu và nhược điểm của nhiều giải pháp</x:v>
      </x:c>
    </x:row>
    <x:row r="11">
      <x:c r="A11" s="81" t="str">
        <x:v>ANA03</x:v>
      </x:c>
      <x:c r="B11" s="82" t="str">
        <x:v>Nhận diện quy luật</x:v>
      </x:c>
      <x:c r="C11" s="82" t="str">
        <x:v>Phân tích và giải quyết vấn đề</x:v>
      </x:c>
      <x:c r="D11" s="83" t="str">
        <x:v>Tìm mẫu lặp lại trong dữ liệu hoặc sự kiện</x:v>
      </x:c>
    </x:row>
    <x:row r="12">
      <x:c r="A12" s="81" t="str">
        <x:v>ANA04</x:v>
      </x:c>
      <x:c r="B12" s="82" t="str">
        <x:v>Suy luận logic</x:v>
      </x:c>
      <x:c r="C12" s="82" t="str">
        <x:v>Phân tích và giải quyết vấn đề</x:v>
      </x:c>
      <x:c r="D12" s="83" t="str">
        <x:v>Dùng các dữ kiện để đưa ra kết luận</x:v>
      </x:c>
    </x:row>
    <x:row r="13">
      <x:c r="A13" s="81" t="str">
        <x:v>ANA05</x:v>
      </x:c>
      <x:c r="B13" s="82" t="str">
        <x:v>Giải quyết vấn đề khó</x:v>
      </x:c>
      <x:c r="C13" s="82" t="str">
        <x:v>Phân tích và giải quyết vấn đề</x:v>
      </x:c>
      <x:c r="D13" s="83" t="str">
        <x:v>Xử lý bài toán chưa có cách giải rõ ràng</x:v>
      </x:c>
    </x:row>
    <x:row r="14">
      <x:c r="A14" s="81" t="str">
        <x:v>ANA06</x:v>
      </x:c>
      <x:c r="B14" s="82" t="str">
        <x:v>Kiểm tra giả thuyết</x:v>
      </x:c>
      <x:c r="C14" s="82" t="str">
        <x:v>Phân tích và giải quyết vấn đề</x:v>
      </x:c>
      <x:c r="D14" s="83" t="str">
        <x:v>Xác định một nhận định có đúng hay không</x:v>
      </x:c>
    </x:row>
    <x:row r="15">
      <x:c r="A15" s="81" t="str">
        <x:v>ANA07</x:v>
      </x:c>
      <x:c r="B15" s="82" t="str">
        <x:v>Đánh giá bằng chứng</x:v>
      </x:c>
      <x:c r="C15" s="82" t="str">
        <x:v>Phân tích và giải quyết vấn đề</x:v>
      </x:c>
      <x:c r="D15" s="83" t="str">
        <x:v>Xem bằng chứng nào đáng tin cậy hơn</x:v>
      </x:c>
    </x:row>
    <x:row r="16">
      <x:c r="A16" s="81" t="str">
        <x:v>ANA08</x:v>
      </x:c>
      <x:c r="B16" s="82" t="str">
        <x:v>Phát hiện lỗi</x:v>
      </x:c>
      <x:c r="C16" s="82" t="str">
        <x:v>Phân tích và giải quyết vấn đề</x:v>
      </x:c>
      <x:c r="D16" s="83" t="str">
        <x:v>Tìm điểm sai trong dữ liệu, văn bản, máy móc hoặc quy trình</x:v>
      </x:c>
    </x:row>
    <x:row r="17">
      <x:c r="A17" s="75" t="str">
        <x:v>CRE01</x:v>
      </x:c>
      <x:c r="B17" s="76" t="str">
        <x:v>Đề xuất ý tưởng mới</x:v>
      </x:c>
      <x:c r="C17" s="76" t="str">
        <x:v>Sáng tạo và thiết kế</x:v>
      </x:c>
      <x:c r="D17" s="77" t="str">
        <x:v>Nghĩ ra sản phẩm, câu chuyện hoặc giải pháp</x:v>
      </x:c>
    </x:row>
    <x:row r="18">
      <x:c r="A18" s="75" t="str">
        <x:v>CRE02</x:v>
      </x:c>
      <x:c r="B18" s="76" t="str">
        <x:v>Tưởng tượng khả năng</x:v>
      </x:c>
      <x:c r="C18" s="76" t="str">
        <x:v>Sáng tạo và thiết kế</x:v>
      </x:c>
      <x:c r="D18" s="77" t="str">
        <x:v>Hình dung những điều chưa tồn tại</x:v>
      </x:c>
    </x:row>
    <x:row r="19">
      <x:c r="A19" s="75" t="str">
        <x:v>CRE03</x:v>
      </x:c>
      <x:c r="B19" s="76" t="str">
        <x:v>Thiết kế sản phẩm</x:v>
      </x:c>
      <x:c r="C19" s="76" t="str">
        <x:v>Sáng tạo và thiết kế</x:v>
      </x:c>
      <x:c r="D19" s="77" t="str">
        <x:v>Thiết kế ứng dụng, poster, mô hình hoặc không gian</x:v>
      </x:c>
    </x:row>
    <x:row r="20">
      <x:c r="A20" s="75" t="str">
        <x:v>CRE04</x:v>
      </x:c>
      <x:c r="B20" s="76" t="str">
        <x:v>Thể hiện bản thân</x:v>
      </x:c>
      <x:c r="C20" s="76" t="str">
        <x:v>Sáng tạo và thiết kế</x:v>
      </x:c>
      <x:c r="D20" s="77" t="str">
        <x:v>Viết, vẽ, diễn xuất, làm nhạc hoặc quay video</x:v>
      </x:c>
    </x:row>
    <x:row r="21">
      <x:c r="A21" s="75" t="str">
        <x:v>CRE05</x:v>
      </x:c>
      <x:c r="B21" s="76" t="str">
        <x:v>Cải tiến cái có sẵn</x:v>
      </x:c>
      <x:c r="C21" s="76" t="str">
        <x:v>Sáng tạo và thiết kế</x:v>
      </x:c>
      <x:c r="D21" s="77" t="str">
        <x:v>Làm một sản phẩm hoặc quy trình tốt hơn</x:v>
      </x:c>
    </x:row>
    <x:row r="22">
      <x:c r="A22" s="75" t="str">
        <x:v>CRE06</x:v>
      </x:c>
      <x:c r="B22" s="76" t="str">
        <x:v>Kết hợp nhiều ý tưởng</x:v>
      </x:c>
      <x:c r="C22" s="76" t="str">
        <x:v>Sáng tạo và thiết kế</x:v>
      </x:c>
      <x:c r="D22" s="77" t="str">
        <x:v>Ghép các kiến thức khác nhau thành giải pháp mới</x:v>
      </x:c>
    </x:row>
    <x:row r="23">
      <x:c r="A23" s="75" t="str">
        <x:v>CRE07</x:v>
      </x:c>
      <x:c r="B23" s="76" t="str">
        <x:v>Làm việc theo cách riêng</x:v>
      </x:c>
      <x:c r="C23" s="76" t="str">
        <x:v>Sáng tạo và thiết kế</x:v>
      </x:c>
      <x:c r="D23" s="77" t="str">
        <x:v>Tự chọn phương pháp thay vì làm hoàn toàn theo mẫu</x:v>
      </x:c>
    </x:row>
    <x:row r="24">
      <x:c r="A24" s="81" t="str">
        <x:v>ORG01</x:v>
      </x:c>
      <x:c r="B24" s="82" t="str">
        <x:v>Lập kế hoạch</x:v>
      </x:c>
      <x:c r="C24" s="82" t="str">
        <x:v>Lập kế hoạch và tổ chức</x:v>
      </x:c>
      <x:c r="D24" s="83" t="str">
        <x:v>Xác định bước cần làm, thời gian và nguồn lực</x:v>
      </x:c>
    </x:row>
    <x:row r="25">
      <x:c r="A25" s="81" t="str">
        <x:v>ORG02</x:v>
      </x:c>
      <x:c r="B25" s="82" t="str">
        <x:v>Sắp xếp thứ tự ưu tiên</x:v>
      </x:c>
      <x:c r="C25" s="82" t="str">
        <x:v>Lập kế hoạch và tổ chức</x:v>
      </x:c>
      <x:c r="D25" s="83" t="str">
        <x:v>Chọn việc nào cần thực hiện trước</x:v>
      </x:c>
    </x:row>
    <x:row r="26">
      <x:c r="A26" s="81" t="str">
        <x:v>ORG03</x:v>
      </x:c>
      <x:c r="B26" s="82" t="str">
        <x:v>Phân loại thông tin</x:v>
      </x:c>
      <x:c r="C26" s="82" t="str">
        <x:v>Lập kế hoạch và tổ chức</x:v>
      </x:c>
      <x:c r="D26" s="83" t="str">
        <x:v>Xếp tài liệu hoặc dữ liệu thành các nhóm</x:v>
      </x:c>
    </x:row>
    <x:row r="27">
      <x:c r="A27" s="81" t="str">
        <x:v>ORG04</x:v>
      </x:c>
      <x:c r="B27" s="82" t="str">
        <x:v>Quản lý thời gian</x:v>
      </x:c>
      <x:c r="C27" s="82" t="str">
        <x:v>Lập kế hoạch và tổ chức</x:v>
      </x:c>
      <x:c r="D27" s="83" t="str">
        <x:v>Hoàn thành công việc đúng hạn</x:v>
      </x:c>
    </x:row>
    <x:row r="28">
      <x:c r="A28" s="81" t="str">
        <x:v>ORG05</x:v>
      </x:c>
      <x:c r="B28" s="82" t="str">
        <x:v>Theo dõi tiến độ</x:v>
      </x:c>
      <x:c r="C28" s="82" t="str">
        <x:v>Lập kế hoạch và tổ chức</x:v>
      </x:c>
      <x:c r="D28" s="83" t="str">
        <x:v>Kiểm tra công việc đã hoàn thành đến đâu</x:v>
      </x:c>
    </x:row>
    <x:row r="29">
      <x:c r="A29" s="81" t="str">
        <x:v>ORG06</x:v>
      </x:c>
      <x:c r="B29" s="82" t="str">
        <x:v>Quản lý nhiều nhiệm vụ</x:v>
      </x:c>
      <x:c r="C29" s="82" t="str">
        <x:v>Lập kế hoạch và tổ chức</x:v>
      </x:c>
      <x:c r="D29" s="83" t="str">
        <x:v>Xử lý nhiều đầu việc cùng lúc</x:v>
      </x:c>
    </x:row>
    <x:row r="30">
      <x:c r="A30" s="81" t="str">
        <x:v>ORG07</x:v>
      </x:c>
      <x:c r="B30" s="82" t="str">
        <x:v>Chuẩn bị nguồn lực</x:v>
      </x:c>
      <x:c r="C30" s="82" t="str">
        <x:v>Lập kế hoạch và tổ chức</x:v>
      </x:c>
      <x:c r="D30" s="83" t="str">
        <x:v>Chọn dụng cụ, dữ liệu, nhân lực hoặc vật liệu cần thiết</x:v>
      </x:c>
    </x:row>
    <x:row r="31">
      <x:c r="A31" s="75" t="str">
        <x:v>PRA01</x:v>
      </x:c>
      <x:c r="B31" s="76" t="str">
        <x:v>Lắp ráp</x:v>
      </x:c>
      <x:c r="C31" s="76" t="str">
        <x:v>Thực hành và thao tác</x:v>
      </x:c>
      <x:c r="D31" s="77" t="str">
        <x:v>Ghép các bộ phận thành sản phẩm</x:v>
      </x:c>
    </x:row>
    <x:row r="32">
      <x:c r="A32" s="75" t="str">
        <x:v>PRA02</x:v>
      </x:c>
      <x:c r="B32" s="76" t="str">
        <x:v>Sửa chữa</x:v>
      </x:c>
      <x:c r="C32" s="76" t="str">
        <x:v>Thực hành và thao tác</x:v>
      </x:c>
      <x:c r="D32" s="77" t="str">
        <x:v>Tìm và sửa lỗi thiết bị</x:v>
      </x:c>
    </x:row>
    <x:row r="33">
      <x:c r="A33" s="75" t="str">
        <x:v>PRA03</x:v>
      </x:c>
      <x:c r="B33" s="76" t="str">
        <x:v>Sử dụng công cụ</x:v>
      </x:c>
      <x:c r="C33" s="76" t="str">
        <x:v>Thực hành và thao tác</x:v>
      </x:c>
      <x:c r="D33" s="77" t="str">
        <x:v>Dùng máy móc, dụng cụ hoặc phần mềm</x:v>
      </x:c>
    </x:row>
    <x:row r="34">
      <x:c r="A34" s="75" t="str">
        <x:v>PRA04</x:v>
      </x:c>
      <x:c r="B34" s="76" t="str">
        <x:v>Tạo sản phẩm hữu hình</x:v>
      </x:c>
      <x:c r="C34" s="76" t="str">
        <x:v>Thực hành và thao tác</x:v>
      </x:c>
      <x:c r="D34" s="77" t="str">
        <x:v>Làm mô hình, đồ vật hoặc sản phẩm thực tế</x:v>
      </x:c>
    </x:row>
    <x:row r="35">
      <x:c r="A35" s="75" t="str">
        <x:v>PRA05</x:v>
      </x:c>
      <x:c r="B35" s="76" t="str">
        <x:v>Thực hiện theo hướng dẫn</x:v>
      </x:c>
      <x:c r="C35" s="76" t="str">
        <x:v>Thực hành và thao tác</x:v>
      </x:c>
      <x:c r="D35" s="77" t="str">
        <x:v>Làm đúng các bước của quy trình</x:v>
      </x:c>
    </x:row>
    <x:row r="36">
      <x:c r="A36" s="75" t="str">
        <x:v>PRA06</x:v>
      </x:c>
      <x:c r="B36" s="76" t="str">
        <x:v>Làm việc bằng tay</x:v>
      </x:c>
      <x:c r="C36" s="76" t="str">
        <x:v>Thực hành và thao tác</x:v>
      </x:c>
      <x:c r="D36" s="77" t="str">
        <x:v>Cắt, đo, vẽ, chế tạo hoặc thao tác vật liệu</x:v>
      </x:c>
    </x:row>
    <x:row r="37">
      <x:c r="A37" s="75" t="str">
        <x:v>PRA07</x:v>
      </x:c>
      <x:c r="B37" s="76" t="str">
        <x:v>Hoạt động ngoài trời</x:v>
      </x:c>
      <x:c r="C37" s="76" t="str">
        <x:v>Thực hành và thao tác</x:v>
      </x:c>
      <x:c r="D37" s="77" t="str">
        <x:v>Làm việc với cây trồng, động vật, môi trường hoặc công trình</x:v>
      </x:c>
    </x:row>
    <x:row r="38">
      <x:c r="A38" s="75" t="str">
        <x:v>PRA08</x:v>
      </x:c>
      <x:c r="B38" s="76" t="str">
        <x:v>Vận động cơ thể</x:v>
      </x:c>
      <x:c r="C38" s="76" t="str">
        <x:v>Thực hành và thao tác</x:v>
      </x:c>
      <x:c r="D38" s="77" t="str">
        <x:v>Di chuyển, điều khiển, luyện tập hoặc biểu diễn</x:v>
      </x:c>
    </x:row>
    <x:row r="39">
      <x:c r="A39" s="81" t="str">
        <x:v>DAT01</x:v>
      </x:c>
      <x:c r="B39" s="82" t="str">
        <x:v>Thu thập dữ liệu</x:v>
      </x:c>
      <x:c r="C39" s="82" t="str">
        <x:v>Làm việc với dữ liệu và độ chính xác</x:v>
      </x:c>
      <x:c r="D39" s="83" t="str">
        <x:v>Ghi lại số liệu, câu trả lời hoặc quan sát</x:v>
      </x:c>
    </x:row>
    <x:row r="40">
      <x:c r="A40" s="81" t="str">
        <x:v>DAT02</x:v>
      </x:c>
      <x:c r="B40" s="82" t="str">
        <x:v>Nhập và lưu trữ dữ liệu</x:v>
      </x:c>
      <x:c r="C40" s="82" t="str">
        <x:v>Làm việc với dữ liệu và độ chính xác</x:v>
      </x:c>
      <x:c r="D40" s="83" t="str">
        <x:v>Điền bảng, cập nhật hệ thống hoặc hồ sơ</x:v>
      </x:c>
    </x:row>
    <x:row r="41">
      <x:c r="A41" s="81" t="str">
        <x:v>DAT03</x:v>
      </x:c>
      <x:c r="B41" s="82" t="str">
        <x:v>Làm việc với số liệu</x:v>
      </x:c>
      <x:c r="C41" s="82" t="str">
        <x:v>Làm việc với dữ liệu và độ chính xác</x:v>
      </x:c>
      <x:c r="D41" s="83" t="str">
        <x:v>Tính toán, thống kê hoặc xử lý bảng dữ liệu</x:v>
      </x:c>
    </x:row>
    <x:row r="42">
      <x:c r="A42" s="81" t="str">
        <x:v>DAT04</x:v>
      </x:c>
      <x:c r="B42" s="82" t="str">
        <x:v>Trình bày dữ liệu</x:v>
      </x:c>
      <x:c r="C42" s="82" t="str">
        <x:v>Làm việc với dữ liệu và độ chính xác</x:v>
      </x:c>
      <x:c r="D42" s="83" t="str">
        <x:v>Tạo bảng, biểu đồ hoặc báo cáo</x:v>
      </x:c>
    </x:row>
    <x:row r="43">
      <x:c r="A43" s="81" t="str">
        <x:v>DAT05</x:v>
      </x:c>
      <x:c r="B43" s="82" t="str">
        <x:v>Kiểm tra độ chính xác</x:v>
      </x:c>
      <x:c r="C43" s="82" t="str">
        <x:v>Làm việc với dữ liệu và độ chính xác</x:v>
      </x:c>
      <x:c r="D43" s="83" t="str">
        <x:v>Kiểm tra số liệu và thông tin có đúng không</x:v>
      </x:c>
    </x:row>
    <x:row r="44">
      <x:c r="A44" s="81" t="str">
        <x:v>DAT06</x:v>
      </x:c>
      <x:c r="B44" s="82" t="str">
        <x:v>Theo dõi thay đổi theo thời gian</x:v>
      </x:c>
      <x:c r="C44" s="82" t="str">
        <x:v>Làm việc với dữ liệu và độ chính xác</x:v>
      </x:c>
      <x:c r="D44" s="83" t="str">
        <x:v>Quan sát xu hướng hoặc tiến trình</x:v>
      </x:c>
    </x:row>
    <x:row r="45">
      <x:c r="A45" s="81" t="str">
        <x:v>DAT07</x:v>
      </x:c>
      <x:c r="B45" s="82" t="str">
        <x:v>Làm việc với quy tắc rõ ràng</x:v>
      </x:c>
      <x:c r="C45" s="82" t="str">
        <x:v>Làm việc với dữ liệu và độ chính xác</x:v>
      </x:c>
      <x:c r="D45" s="83" t="str">
        <x:v>Áp dụng tiêu chuẩn, công thức hoặc quy định</x:v>
      </x:c>
    </x:row>
    <x:row r="46">
      <x:c r="A46" s="81" t="str">
        <x:v>DAT08</x:v>
      </x:c>
      <x:c r="B46" s="82" t="str">
        <x:v>Quản lý hồ sơ chi tiết</x:v>
      </x:c>
      <x:c r="C46" s="82" t="str">
        <x:v>Làm việc với dữ liệu và độ chính xác</x:v>
      </x:c>
      <x:c r="D46" s="83" t="str">
        <x:v>Lưu trữ tài liệu có hệ thống</x:v>
      </x:c>
    </x:row>
    <x:row r="47">
      <x:c r="A47" s="75" t="str">
        <x:v>SOC01</x:v>
      </x:c>
      <x:c r="B47" s="76" t="str">
        <x:v>Lắng nghe người khác</x:v>
      </x:c>
      <x:c r="C47" s="76" t="str">
        <x:v>Giao tiếp và hỗ trợ người khác</x:v>
      </x:c>
      <x:c r="D47" s="77" t="str">
        <x:v>Nghe vấn đề, suy nghĩ và cảm xúc của người khác</x:v>
      </x:c>
    </x:row>
    <x:row r="48">
      <x:c r="A48" s="75" t="str">
        <x:v>SOC02</x:v>
      </x:c>
      <x:c r="B48" s="76" t="str">
        <x:v>Giải thích</x:v>
      </x:c>
      <x:c r="C48" s="76" t="str">
        <x:v>Giao tiếp và hỗ trợ người khác</x:v>
      </x:c>
      <x:c r="D48" s="77" t="str">
        <x:v>Trình bày kiến thức theo cách dễ hiểu</x:v>
      </x:c>
    </x:row>
    <x:row r="49">
      <x:c r="A49" s="75" t="str">
        <x:v>SOC03</x:v>
      </x:c>
      <x:c r="B49" s="76" t="str">
        <x:v>Hướng dẫn</x:v>
      </x:c>
      <x:c r="C49" s="76" t="str">
        <x:v>Giao tiếp và hỗ trợ người khác</x:v>
      </x:c>
      <x:c r="D49" s="77" t="str">
        <x:v>Chỉ cho người khác cách thực hiện một việc</x:v>
      </x:c>
    </x:row>
    <x:row r="50">
      <x:c r="A50" s="75" t="str">
        <x:v>SOC04</x:v>
      </x:c>
      <x:c r="B50" s="76" t="str">
        <x:v>Chăm sóc và hỗ trợ</x:v>
      </x:c>
      <x:c r="C50" s="76" t="str">
        <x:v>Giao tiếp và hỗ trợ người khác</x:v>
      </x:c>
      <x:c r="D50" s="77" t="str">
        <x:v>Giúp người khác vượt qua khó khăn</x:v>
      </x:c>
    </x:row>
    <x:row r="51">
      <x:c r="A51" s="75" t="str">
        <x:v>SOC05</x:v>
      </x:c>
      <x:c r="B51" s="76" t="str">
        <x:v>Tư vấn</x:v>
      </x:c>
      <x:c r="C51" s="76" t="str">
        <x:v>Giao tiếp và hỗ trợ người khác</x:v>
      </x:c>
      <x:c r="D51" s="77" t="str">
        <x:v>Phân tích nhu cầu và đề xuất lựa chọn</x:v>
      </x:c>
    </x:row>
    <x:row r="52">
      <x:c r="A52" s="75" t="str">
        <x:v>SOC06</x:v>
      </x:c>
      <x:c r="B52" s="76" t="str">
        <x:v>Hợp tác nhóm</x:v>
      </x:c>
      <x:c r="C52" s="76" t="str">
        <x:v>Giao tiếp và hỗ trợ người khác</x:v>
      </x:c>
      <x:c r="D52" s="77" t="str">
        <x:v>Cùng người khác hoàn thành nhiệm vụ</x:v>
      </x:c>
    </x:row>
    <x:row r="53">
      <x:c r="A53" s="75" t="str">
        <x:v>SOC07</x:v>
      </x:c>
      <x:c r="B53" s="76" t="str">
        <x:v>Giải quyết xung đột</x:v>
      </x:c>
      <x:c r="C53" s="76" t="str">
        <x:v>Giao tiếp và hỗ trợ người khác</x:v>
      </x:c>
      <x:c r="D53" s="77" t="str">
        <x:v>Giúp các bên tìm tiếng nói chung</x:v>
      </x:c>
    </x:row>
    <x:row r="54">
      <x:c r="A54" s="75" t="str">
        <x:v>SOC08</x:v>
      </x:c>
      <x:c r="B54" s="76" t="str">
        <x:v>Hiểu cảm xúc người khác</x:v>
      </x:c>
      <x:c r="C54" s="76" t="str">
        <x:v>Giao tiếp và hỗ trợ người khác</x:v>
      </x:c>
      <x:c r="D54" s="77" t="str">
        <x:v>Nhận diện tâm trạng và phản ứng phù hợp</x:v>
      </x:c>
    </x:row>
    <x:row r="55">
      <x:c r="A55" s="75" t="str">
        <x:v>SOC09</x:v>
      </x:c>
      <x:c r="B55" s="76" t="str">
        <x:v>Giao tiếp với nhiều người</x:v>
      </x:c>
      <x:c r="C55" s="76" t="str">
        <x:v>Giao tiếp và hỗ trợ người khác</x:v>
      </x:c>
      <x:c r="D55" s="77" t="str">
        <x:v>Gặp gỡ khách hàng, cộng đồng hoặc đối tác</x:v>
      </x:c>
    </x:row>
    <x:row r="56">
      <x:c r="A56" s="75" t="str">
        <x:v>SOC10</x:v>
      </x:c>
      <x:c r="B56" s="76" t="str">
        <x:v>Xây dựng mối quan hệ</x:v>
      </x:c>
      <x:c r="C56" s="76" t="str">
        <x:v>Giao tiếp và hỗ trợ người khác</x:v>
      </x:c>
      <x:c r="D56" s="77" t="str">
        <x:v>Duy trì sự tin tưởng và kết nối lâu dài</x:v>
      </x:c>
    </x:row>
    <x:row r="57">
      <x:c r="A57" s="81" t="str">
        <x:v>LEA01</x:v>
      </x:c>
      <x:c r="B57" s="82" t="str">
        <x:v>Thuyết phục</x:v>
      </x:c>
      <x:c r="C57" s="82" t="str">
        <x:v>Lãnh đạo và gây ảnh hưởng</x:v>
      </x:c>
      <x:c r="D57" s="83" t="str">
        <x:v>Làm người khác đồng ý với một ý tưởng</x:v>
      </x:c>
    </x:row>
    <x:row r="58">
      <x:c r="A58" s="81" t="str">
        <x:v>LEA02</x:v>
      </x:c>
      <x:c r="B58" s="82" t="str">
        <x:v>Trình bày trước đám đông</x:v>
      </x:c>
      <x:c r="C58" s="82" t="str">
        <x:v>Lãnh đạo và gây ảnh hưởng</x:v>
      </x:c>
      <x:c r="D58" s="83" t="str">
        <x:v>Thuyết trình hoặc bảo vệ quan điểm</x:v>
      </x:c>
    </x:row>
    <x:row r="59">
      <x:c r="A59" s="81" t="str">
        <x:v>LEA03</x:v>
      </x:c>
      <x:c r="B59" s="82" t="str">
        <x:v>Ra quyết định</x:v>
      </x:c>
      <x:c r="C59" s="82" t="str">
        <x:v>Lãnh đạo và gây ảnh hưởng</x:v>
      </x:c>
      <x:c r="D59" s="83" t="str">
        <x:v>Chọn phương án và chịu trách nhiệm</x:v>
      </x:c>
    </x:row>
    <x:row r="60">
      <x:c r="A60" s="81" t="str">
        <x:v>LEA04</x:v>
      </x:c>
      <x:c r="B60" s="82" t="str">
        <x:v>Phân công công việc</x:v>
      </x:c>
      <x:c r="C60" s="82" t="str">
        <x:v>Lãnh đạo và gây ảnh hưởng</x:v>
      </x:c>
      <x:c r="D60" s="83" t="str">
        <x:v>Giao nhiệm vụ cho các thành viên</x:v>
      </x:c>
    </x:row>
    <x:row r="61">
      <x:c r="A61" s="81" t="str">
        <x:v>LEA05</x:v>
      </x:c>
      <x:c r="B61" s="82" t="str">
        <x:v>Dẫn dắt nhóm</x:v>
      </x:c>
      <x:c r="C61" s="82" t="str">
        <x:v>Lãnh đạo và gây ảnh hưởng</x:v>
      </x:c>
      <x:c r="D61" s="83" t="str">
        <x:v>Định hướng mọi người đạt mục tiêu chung</x:v>
      </x:c>
    </x:row>
    <x:row r="62">
      <x:c r="A62" s="81" t="str">
        <x:v>LEA06</x:v>
      </x:c>
      <x:c r="B62" s="82" t="str">
        <x:v>Thương lượng</x:v>
      </x:c>
      <x:c r="C62" s="82" t="str">
        <x:v>Lãnh đạo và gây ảnh hưởng</x:v>
      </x:c>
      <x:c r="D62" s="83" t="str">
        <x:v>Tìm thỏa thuận giữa các bên</x:v>
      </x:c>
    </x:row>
    <x:row r="63">
      <x:c r="A63" s="81" t="str">
        <x:v>LEA07</x:v>
      </x:c>
      <x:c r="B63" s="82" t="str">
        <x:v>Khởi xướng hoạt động</x:v>
      </x:c>
      <x:c r="C63" s="82" t="str">
        <x:v>Lãnh đạo và gây ảnh hưởng</x:v>
      </x:c>
      <x:c r="D63" s="83" t="str">
        <x:v>Chủ động bắt đầu dự án hoặc ý tưởng</x:v>
      </x:c>
    </x:row>
    <x:row r="64">
      <x:c r="A64" s="81" t="str">
        <x:v>LEA08</x:v>
      </x:c>
      <x:c r="B64" s="82" t="str">
        <x:v>Chấp nhận rủi ro</x:v>
      </x:c>
      <x:c r="C64" s="82" t="str">
        <x:v>Lãnh đạo và gây ảnh hưởng</x:v>
      </x:c>
      <x:c r="D64" s="83" t="str">
        <x:v>Hành động dù kết quả chưa chắc chắn</x:v>
      </x:c>
    </x:row>
    <x:row r="65">
      <x:c r="A65" s="81" t="str">
        <x:v>LEA09</x:v>
      </x:c>
      <x:c r="B65" s="82" t="str">
        <x:v>Cạnh tranh</x:v>
      </x:c>
      <x:c r="C65" s="82" t="str">
        <x:v>Lãnh đạo và gây ảnh hưởng</x:v>
      </x:c>
      <x:c r="D65" s="83" t="str">
        <x:v>Cố gắng đạt kết quả tốt hơn người khác</x:v>
      </x:c>
    </x:row>
    <x:row r="66">
      <x:c r="A66" s="81" t="str">
        <x:v>LEA10</x:v>
      </x:c>
      <x:c r="B66" s="82" t="str">
        <x:v>Chịu trách nhiệm về kết quả</x:v>
      </x:c>
      <x:c r="C66" s="82" t="str">
        <x:v>Lãnh đạo và gây ảnh hưởng</x:v>
      </x:c>
      <x:c r="D66" s="83" t="str">
        <x:v>Đứng ra giải quyết khi quyết định chưa tốt</x:v>
      </x:c>
    </x:row>
    <x:row r="67">
      <x:c r="A67" s="75" t="str">
        <x:v>PER01</x:v>
      </x:c>
      <x:c r="B67" s="76" t="str">
        <x:v>Làm việc lặp lại</x:v>
      </x:c>
      <x:c r="C67" s="76" t="str">
        <x:v>Kiên trì và theo đuổi dài hạn</x:v>
      </x:c>
      <x:c r="D67" s="77" t="str">
        <x:v>Thực hiện cùng một thao tác nhiều lần</x:v>
      </x:c>
    </x:row>
    <x:row r="68">
      <x:c r="A68" s="75" t="str">
        <x:v>PER02</x:v>
      </x:c>
      <x:c r="B68" s="76" t="str">
        <x:v>Chờ đợi kết quả</x:v>
      </x:c>
      <x:c r="C68" s="76" t="str">
        <x:v>Kiên trì và theo đuổi dài hạn</x:v>
      </x:c>
      <x:c r="D68" s="77" t="str">
        <x:v>Theo dõi thí nghiệm hoặc dự án dài hạn</x:v>
      </x:c>
    </x:row>
    <x:row r="69">
      <x:c r="A69" s="75" t="str">
        <x:v>PER03</x:v>
      </x:c>
      <x:c r="B69" s="76" t="str">
        <x:v>Theo đuổi việc khó</x:v>
      </x:c>
      <x:c r="C69" s="76" t="str">
        <x:v>Kiên trì và theo đuổi dài hạn</x:v>
      </x:c>
      <x:c r="D69" s="77" t="str">
        <x:v>Tiếp tục dù chưa tìm được lời giải</x:v>
      </x:c>
    </x:row>
    <x:row r="70">
      <x:c r="A70" s="75" t="str">
        <x:v>PER04</x:v>
      </x:c>
      <x:c r="B70" s="76" t="str">
        <x:v>Sửa lại nhiều lần</x:v>
      </x:c>
      <x:c r="C70" s="76" t="str">
        <x:v>Kiên trì và theo đuổi dài hạn</x:v>
      </x:c>
      <x:c r="D70" s="77" t="str">
        <x:v>Chỉnh sửa sản phẩm đến khi đạt yêu cầu</x:v>
      </x:c>
    </x:row>
    <x:row r="71">
      <x:c r="A71" s="75" t="str">
        <x:v>PER05</x:v>
      </x:c>
      <x:c r="B71" s="76" t="str">
        <x:v>Duy trì sự tập trung</x:v>
      </x:c>
      <x:c r="C71" s="76" t="str">
        <x:v>Kiên trì và theo đuổi dài hạn</x:v>
      </x:c>
      <x:c r="D71" s="77" t="str">
        <x:v>Làm việc lâu mà không bị phân tán</x:v>
      </x:c>
    </x:row>
    <x:row r="72">
      <x:c r="A72" s="75" t="str">
        <x:v>PER06</x:v>
      </x:c>
      <x:c r="B72" s="76" t="str">
        <x:v>Hoàn thành công việc dang dở</x:v>
      </x:c>
      <x:c r="C72" s="76" t="str">
        <x:v>Kiên trì và theo đuổi dài hạn</x:v>
      </x:c>
      <x:c r="D72" s="77" t="str">
        <x:v>Theo nhiệm vụ đến bước cuối cùng</x:v>
      </x:c>
    </x:row>
    <x:row r="73">
      <x:c r="A73" s="75" t="str">
        <x:v>PER07</x:v>
      </x:c>
      <x:c r="B73" s="76" t="str">
        <x:v>Chấp nhận tiến bộ chậm</x:v>
      </x:c>
      <x:c r="C73" s="76" t="str">
        <x:v>Kiên trì và theo đuổi dài hạn</x:v>
      </x:c>
      <x:c r="D73" s="77" t="str">
        <x:v>Làm việc dù kết quả chưa xuất hiện ngay</x:v>
      </x:c>
    </x:row>
    <x:row r="74">
      <x:c r="A74" s="75" t="str">
        <x:v>PER08</x:v>
      </x:c>
      <x:c r="B74" s="76" t="str">
        <x:v>Phục hồi sau thất bại</x:v>
      </x:c>
      <x:c r="C74" s="76" t="str">
        <x:v>Kiên trì và theo đuổi dài hạn</x:v>
      </x:c>
      <x:c r="D74" s="77" t="str">
        <x:v>Thử lại sau khi kết quả không tốt</x:v>
      </x:c>
    </x:row>
    <x:row r="75">
      <x:c r="A75" s="81" t="str">
        <x:v>CRT01</x:v>
      </x:c>
      <x:c r="B75" s="82" t="str">
        <x:v>Xem xét ý kiến trái chiều</x:v>
      </x:c>
      <x:c r="C75" s="82" t="str">
        <x:v>Phản biện và tự điều chỉnh</x:v>
      </x:c>
      <x:c r="D75" s="83" t="str">
        <x:v>Đọc và đánh giá quan điểm khác mình</x:v>
      </x:c>
    </x:row>
    <x:row r="76">
      <x:c r="A76" s="81" t="str">
        <x:v>CRT02</x:v>
      </x:c>
      <x:c r="B76" s="82" t="str">
        <x:v>Thừa nhận sai sót</x:v>
      </x:c>
      <x:c r="C76" s="82" t="str">
        <x:v>Phản biện và tự điều chỉnh</x:v>
      </x:c>
      <x:c r="D76" s="83" t="str">
        <x:v>Chấp nhận kết luận ban đầu không đúng</x:v>
      </x:c>
    </x:row>
    <x:row r="77">
      <x:c r="A77" s="81" t="str">
        <x:v>CRT03</x:v>
      </x:c>
      <x:c r="B77" s="82" t="str">
        <x:v>Điều chỉnh phương án</x:v>
      </x:c>
      <x:c r="C77" s="82" t="str">
        <x:v>Phản biện và tự điều chỉnh</x:v>
      </x:c>
      <x:c r="D77" s="83" t="str">
        <x:v>Thay đổi kế hoạch khi có thông tin mới</x:v>
      </x:c>
    </x:row>
    <x:row r="78">
      <x:c r="A78" s="81" t="str">
        <x:v>CRT04</x:v>
      </x:c>
      <x:c r="B78" s="82" t="str">
        <x:v>Nêu giới hạn</x:v>
      </x:c>
      <x:c r="C78" s="82" t="str">
        <x:v>Phản biện và tự điều chỉnh</x:v>
      </x:c>
      <x:c r="D78" s="83" t="str">
        <x:v>Chỉ ra những điều chưa thể kết luận</x:v>
      </x:c>
    </x:row>
    <x:row r="79">
      <x:c r="A79" s="81" t="str">
        <x:v>CRT05</x:v>
      </x:c>
      <x:c r="B79" s="82" t="str">
        <x:v>Tự đánh giá</x:v>
      </x:c>
      <x:c r="C79" s="82" t="str">
        <x:v>Phản biện và tự điều chỉnh</x:v>
      </x:c>
      <x:c r="D79" s="83" t="str">
        <x:v>Xem lại điểm mạnh và điểm yếu trong công việc</x:v>
      </x:c>
    </x:row>
    <x:row r="80">
      <x:c r="A80" s="81" t="str">
        <x:v>CRT06</x:v>
      </x:c>
      <x:c r="B80" s="82" t="str">
        <x:v>Đặt câu hỏi về thông tin</x:v>
      </x:c>
      <x:c r="C80" s="82" t="str">
        <x:v>Phản biện và tự điều chỉnh</x:v>
      </x:c>
      <x:c r="D80" s="83" t="str">
        <x:v>Không tin ngay mà kiểm tra nguồn và bằng chứng</x:v>
      </x:c>
    </x:row>
    <x:row r="81">
      <x:c r="A81" s="81" t="str">
        <x:v>CRT07</x:v>
      </x:c>
      <x:c r="B81" s="82" t="str">
        <x:v>Phân biệt sự thật và ý kiến</x:v>
      </x:c>
      <x:c r="C81" s="82" t="str">
        <x:v>Phản biện và tự điều chỉnh</x:v>
      </x:c>
      <x:c r="D81" s="83" t="str">
        <x:v>Xác định đâu là dữ kiện và đâu là nhận định</x:v>
      </x:c>
    </x:row>
    <x:row r="82">
      <x:c r="A82" s="81" t="str">
        <x:v>CRT08</x:v>
      </x:c>
      <x:c r="B82" s="82" t="str">
        <x:v>Ra quyết định khi thiếu thông tin</x:v>
      </x:c>
      <x:c r="C82" s="82" t="str">
        <x:v>Phản biện và tự điều chỉnh</x:v>
      </x:c>
      <x:c r="D82" s="83" t="str">
        <x:v>Chọn phương án dù chưa có dữ liệu hoàn hảo</x:v>
      </x:c>
    </x:row>
    <x:row r="83">
      <x:c r="A83" s="75" t="str">
        <x:v>QUA01</x:v>
      </x:c>
      <x:c r="B83" s="76" t="str">
        <x:v>Làm theo tiêu chuẩn</x:v>
      </x:c>
      <x:c r="C83" s="76" t="str">
        <x:v>Tuân thủ và kiểm soát chất lượng</x:v>
      </x:c>
      <x:c r="D83" s="77" t="str">
        <x:v>Tuân thủ quy trình kỹ thuật hoặc an toàn</x:v>
      </x:c>
    </x:row>
    <x:row r="84">
      <x:c r="A84" s="75" t="str">
        <x:v>QUA02</x:v>
      </x:c>
      <x:c r="B84" s="76" t="str">
        <x:v>Kiểm tra chất lượng</x:v>
      </x:c>
      <x:c r="C84" s="76" t="str">
        <x:v>Tuân thủ và kiểm soát chất lượng</x:v>
      </x:c>
      <x:c r="D84" s="77" t="str">
        <x:v>Xác định sản phẩm có đạt yêu cầu không</x:v>
      </x:c>
    </x:row>
    <x:row r="85">
      <x:c r="A85" s="75" t="str">
        <x:v>QUA03</x:v>
      </x:c>
      <x:c r="B85" s="76" t="str">
        <x:v>Chú ý chi tiết</x:v>
      </x:c>
      <x:c r="C85" s="76" t="str">
        <x:v>Tuân thủ và kiểm soát chất lượng</x:v>
      </x:c>
      <x:c r="D85" s="77" t="str">
        <x:v>Phát hiện sai khác nhỏ</x:v>
      </x:c>
    </x:row>
    <x:row r="86">
      <x:c r="A86" s="75" t="str">
        <x:v>QUA04</x:v>
      </x:c>
      <x:c r="B86" s="76" t="str">
        <x:v>Ghi chép đầy đủ</x:v>
      </x:c>
      <x:c r="C86" s="76" t="str">
        <x:v>Tuân thủ và kiểm soát chất lượng</x:v>
      </x:c>
      <x:c r="D86" s="77" t="str">
        <x:v>Lưu lại quá trình và kết quả</x:v>
      </x:c>
    </x:row>
    <x:row r="87">
      <x:c r="A87" s="75" t="str">
        <x:v>QUA05</x:v>
      </x:c>
      <x:c r="B87" s="76" t="str">
        <x:v>Đảm bảo an toàn</x:v>
      </x:c>
      <x:c r="C87" s="76" t="str">
        <x:v>Tuân thủ và kiểm soát chất lượng</x:v>
      </x:c>
      <x:c r="D87" s="77" t="str">
        <x:v>Dự đoán và giảm thiểu rủi ro</x:v>
      </x:c>
    </x:row>
    <x:row r="88">
      <x:c r="A88" s="75" t="str">
        <x:v>QUA06</x:v>
      </x:c>
      <x:c r="B88" s="76" t="str">
        <x:v>Chịu trách nhiệm với sai sót</x:v>
      </x:c>
      <x:c r="C88" s="76" t="str">
        <x:v>Tuân thủ và kiểm soát chất lượng</x:v>
      </x:c>
      <x:c r="D88" s="77" t="str">
        <x:v>Phát hiện và sửa lỗi do mình gây ra</x:v>
      </x:c>
    </x:row>
    <x:row r="89">
      <x:c r="A89" s="75" t="str">
        <x:v>QUA07</x:v>
      </x:c>
      <x:c r="B89" s="76" t="str">
        <x:v>Bảo mật thông tin</x:v>
      </x:c>
      <x:c r="C89" s="76" t="str">
        <x:v>Tuân thủ và kiểm soát chất lượng</x:v>
      </x:c>
      <x:c r="D89" s="77" t="str">
        <x:v>Xử lý dữ liệu cá nhân hoặc dữ liệu nhạy cảm</x:v>
      </x:c>
    </x:row>
    <x:row r="90">
      <x:c r="A90" s="75" t="str">
        <x:v>QUA08</x:v>
      </x:c>
      <x:c r="B90" s="76" t="str">
        <x:v>Làm việc nhất quán</x:v>
      </x:c>
      <x:c r="C90" s="76" t="str">
        <x:v>Tuân thủ và kiểm soát chất lượng</x:v>
      </x:c>
      <x:c r="D90" s="77" t="str">
        <x:v>Duy trì chất lượng qua nhiều lần thực hiện</x:v>
      </x:c>
    </x:row>
    <x:row r="91">
      <x:c r="A91" s="81" t="str">
        <x:v>ADP01</x:v>
      </x:c>
      <x:c r="B91" s="82" t="str">
        <x:v>Làm việc trong tình huống thay đổi</x:v>
      </x:c>
      <x:c r="C91" s="82" t="str">
        <x:v>Thích ứng với môi trường làm việc</x:v>
      </x:c>
      <x:c r="D91" s="83" t="str">
        <x:v>Điều chỉnh khi yêu cầu thay đổi</x:v>
      </x:c>
    </x:row>
    <x:row r="92">
      <x:c r="A92" s="81" t="str">
        <x:v>ADP02</x:v>
      </x:c>
      <x:c r="B92" s="82" t="str">
        <x:v>Xử lý áp lực thời gian</x:v>
      </x:c>
      <x:c r="C92" s="82" t="str">
        <x:v>Thích ứng với môi trường làm việc</x:v>
      </x:c>
      <x:c r="D92" s="83" t="str">
        <x:v>Hoàn thành nhiệm vụ có thời hạn ngắn</x:v>
      </x:c>
    </x:row>
    <x:row r="93">
      <x:c r="A93" s="81" t="str">
        <x:v>ADP03</x:v>
      </x:c>
      <x:c r="B93" s="82" t="str">
        <x:v>Xử lý nhiều thông tin cùng lúc</x:v>
      </x:c>
      <x:c r="C93" s="82" t="str">
        <x:v>Thích ứng với môi trường làm việc</x:v>
      </x:c>
      <x:c r="D93" s="83" t="str">
        <x:v>Theo dõi nhiều yếu tố đồng thời</x:v>
      </x:c>
    </x:row>
    <x:row r="94">
      <x:c r="A94" s="81" t="str">
        <x:v>ADP04</x:v>
      </x:c>
      <x:c r="B94" s="82" t="str">
        <x:v>Làm việc với vấn đề mơ hồ</x:v>
      </x:c>
      <x:c r="C94" s="82" t="str">
        <x:v>Thích ứng với môi trường làm việc</x:v>
      </x:c>
      <x:c r="D94" s="83" t="str">
        <x:v>Bắt đầu dù chưa có hướng dẫn đầy đủ</x:v>
      </x:c>
    </x:row>
    <x:row r="95">
      <x:c r="A95" s="81" t="str">
        <x:v>ADP05</x:v>
      </x:c>
      <x:c r="B95" s="82" t="str">
        <x:v>Chuyển đổi giữa nhiều nhiệm vụ</x:v>
      </x:c>
      <x:c r="C95" s="82" t="str">
        <x:v>Thích ứng với môi trường làm việc</x:v>
      </x:c>
      <x:c r="D95" s="83" t="str">
        <x:v>Thay đổi liên tục loại công việc</x:v>
      </x:c>
    </x:row>
    <x:row r="96">
      <x:c r="A96" s="81" t="str">
        <x:v>ADP06</x:v>
      </x:c>
      <x:c r="B96" s="82" t="str">
        <x:v>Phản ứng với tình huống bất ngờ</x:v>
      </x:c>
      <x:c r="C96" s="82" t="str">
        <x:v>Thích ứng với môi trường làm việc</x:v>
      </x:c>
      <x:c r="D96" s="83" t="str">
        <x:v>Xử lý sự cố hoặc trường hợp khẩn cấp</x:v>
      </x:c>
    </x:row>
    <x:row r="97">
      <x:c r="A97" s="81" t="str">
        <x:v>ADP07</x:v>
      </x:c>
      <x:c r="B97" s="82" t="str">
        <x:v>Học công cụ mới</x:v>
      </x:c>
      <x:c r="C97" s="82" t="str">
        <x:v>Thích ứng với môi trường làm việc</x:v>
      </x:c>
      <x:c r="D97" s="83" t="str">
        <x:v>Làm quen nhanh với phần mềm hoặc thiết bị</x:v>
      </x:c>
    </x:row>
    <x:row r="98">
      <x:c r="A98" s="87" t="str">
        <x:v>ADP08</x:v>
      </x:c>
      <x:c r="B98" s="88" t="str">
        <x:v>Làm việc trong môi trường cạnh tranh</x:v>
      </x:c>
      <x:c r="C98" s="88" t="str">
        <x:v>Thích ứng với môi trường làm việc</x:v>
      </x:c>
      <x:c r="D98" s="89" t="str">
        <x:v>Chịu áp lực so sánh và thành tích</x:v>
      </x:c>
    </x:row>
  </x:sheetData>
  <x:pageMargins left="0.7" right="0.7" top="0.75" bottom="0.75" header="0.3" footer="0.3"/>
  <x:tableParts count="1">
    <x:tablePart xmlns:r="http://schemas.openxmlformats.org/officeDocument/2006/relationships" r:id="Rfd37e0f6c715421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18" hidden="0" customWidth="1"/>
    <x:col min="4" max="4" width="31" hidden="0" customWidth="1"/>
    <x:col min="5" max="5" width="36" hidden="0" customWidth="1"/>
    <x:col min="6" max="6" width="16" hidden="0" customWidth="1"/>
    <x:col min="7" max="7" width="48" hidden="0" customWidth="1"/>
  </x:cols>
  <x:sheetData>
    <x:row r="1">
      <x:c r="A1" s="36" t="str">
        <x:v>Nghề</x:v>
      </x:c>
      <x:c r="B1" s="37" t="str">
        <x:v>Hành động nghề nghiệp</x:v>
      </x:c>
      <x:c r="C1" s="37" t="str">
        <x:v>Mã hành động chung</x:v>
      </x:c>
      <x:c r="D1" s="37" t="str">
        <x:v>Hành động chung</x:v>
      </x:c>
      <x:c r="E1" s="37" t="str">
        <x:v>Nhóm hành động</x:v>
      </x:c>
      <x:c r="F1" s="37" t="str">
        <x:v>Trọng số gợi ý</x:v>
      </x:c>
      <x:c r="G1" s="38" t="str">
        <x:v>Ý nghĩa quan sát</x:v>
      </x:c>
    </x:row>
    <x:row r="2">
      <x:c r="A2" s="93" t="str">
        <x:v>Nhà nghiên cứu</x:v>
      </x:c>
      <x:c r="B2" s="18" t="str">
        <x:v>Đọc một hiện tượng chưa được giải thích</x:v>
      </x:c>
      <x:c r="C2" s="18" t="str">
        <x:v>EXP01</x:v>
      </x:c>
      <x:c r="D2" s="18" t="str">
        <x:f>IFERROR(VLOOKUP(C2,'Hành động chung'!$A$2:$D$98,2,FALSE),"")</x:f>
        <x:v>Khám phá điều mới</x:v>
      </x:c>
      <x:c r="E2" s="18" t="str">
        <x:f>IFERROR(VLOOKUP(C2,'Hành động chung'!$A$2:$D$98,3,FALSE),"")</x:f>
        <x:v>Khám phá và tìm hiểu</x:v>
      </x:c>
      <x:c r="F2" s="97" t="n">
        <x:v>0.35</x:v>
      </x:c>
      <x:c r="G2" s="53" t="str">
        <x:v>Hứng thú với việc khám phá nội dung mới</x:v>
      </x:c>
    </x:row>
    <x:row r="3">
      <x:c r="A3" s="93" t="str">
        <x:v>Nhà nghiên cứu</x:v>
      </x:c>
      <x:c r="B3" s="18" t="str">
        <x:v>Đọc một hiện tượng chưa được giải thích</x:v>
      </x:c>
      <x:c r="C3" s="18" t="str">
        <x:v>EXP02</x:v>
      </x:c>
      <x:c r="D3" s="18" t="str">
        <x:f>IFERROR(VLOOKUP(C3,'Hành động chung'!$A$2:$D$98,2,FALSE),"")</x:f>
        <x:v>Đọc và tìm kiếm thông tin</x:v>
      </x:c>
      <x:c r="E3" s="18" t="str">
        <x:f>IFERROR(VLOOKUP(C3,'Hành động chung'!$A$2:$D$98,3,FALSE),"")</x:f>
        <x:v>Khám phá và tìm hiểu</x:v>
      </x:c>
      <x:c r="F3" s="97" t="n">
        <x:v>0.35</x:v>
      </x:c>
      <x:c r="G3" s="53" t="str">
        <x:v>Hứng thú với đọc và tra cứu thông tin</x:v>
      </x:c>
    </x:row>
    <x:row r="4">
      <x:c r="A4" s="93" t="str">
        <x:v>Nhà nghiên cứu</x:v>
      </x:c>
      <x:c r="B4" s="18" t="str">
        <x:v>Đọc một hiện tượng chưa được giải thích</x:v>
      </x:c>
      <x:c r="C4" s="18" t="str">
        <x:v>EXP03</x:v>
      </x:c>
      <x:c r="D4" s="18" t="str">
        <x:f>IFERROR(VLOOKUP(C4,'Hành động chung'!$A$2:$D$98,2,FALSE),"")</x:f>
        <x:v>Quan sát chi tiết</x:v>
      </x:c>
      <x:c r="E4" s="18" t="str">
        <x:f>IFERROR(VLOOKUP(C4,'Hành động chung'!$A$2:$D$98,3,FALSE),"")</x:f>
        <x:v>Khám phá và tìm hiểu</x:v>
      </x:c>
      <x:c r="F4" s="97" t="n">
        <x:v>0.3</x:v>
      </x:c>
      <x:c r="G4" s="53" t="str">
        <x:v>Hứng thú với quan sát chi tiết</x:v>
      </x:c>
    </x:row>
    <x:row r="5">
      <x:c r="A5" s="93" t="str">
        <x:v>Nhà nghiên cứu</x:v>
      </x:c>
      <x:c r="B5" s="18" t="str">
        <x:v>Đề xuất câu hỏi nghiên cứu</x:v>
      </x:c>
      <x:c r="C5" s="18" t="str">
        <x:v>EXP04</x:v>
      </x:c>
      <x:c r="D5" s="18" t="str">
        <x:f>IFERROR(VLOOKUP(C5,'Hành động chung'!$A$2:$D$98,2,FALSE),"")</x:f>
        <x:v>Đặt câu hỏi</x:v>
      </x:c>
      <x:c r="E5" s="18" t="str">
        <x:f>IFERROR(VLOOKUP(C5,'Hành động chung'!$A$2:$D$98,3,FALSE),"")</x:f>
        <x:v>Khám phá và tìm hiểu</x:v>
      </x:c>
      <x:c r="F5" s="97" t="n">
        <x:v>0.45</x:v>
      </x:c>
      <x:c r="G5" s="53" t="str">
        <x:v>Thích đặt câu hỏi và mở rộng vấn đề</x:v>
      </x:c>
    </x:row>
    <x:row r="6">
      <x:c r="A6" s="93" t="str">
        <x:v>Nhà nghiên cứu</x:v>
      </x:c>
      <x:c r="B6" s="18" t="str">
        <x:v>Đề xuất câu hỏi nghiên cứu</x:v>
      </x:c>
      <x:c r="C6" s="18" t="str">
        <x:v>EXP05</x:v>
      </x:c>
      <x:c r="D6" s="18" t="str">
        <x:f>IFERROR(VLOOKUP(C6,'Hành động chung'!$A$2:$D$98,2,FALSE),"")</x:f>
        <x:v>Tìm nguyên nhân</x:v>
      </x:c>
      <x:c r="E6" s="18" t="str">
        <x:f>IFERROR(VLOOKUP(C6,'Hành động chung'!$A$2:$D$98,3,FALSE),"")</x:f>
        <x:v>Khám phá và tìm hiểu</x:v>
      </x:c>
      <x:c r="F6" s="97" t="n">
        <x:v>0.3</x:v>
      </x:c>
      <x:c r="G6" s="53" t="str">
        <x:v>Thích tìm nguyên nhân</x:v>
      </x:c>
    </x:row>
    <x:row r="7">
      <x:c r="A7" s="93" t="str">
        <x:v>Nhà nghiên cứu</x:v>
      </x:c>
      <x:c r="B7" s="18" t="str">
        <x:v>Đề xuất câu hỏi nghiên cứu</x:v>
      </x:c>
      <x:c r="C7" s="18" t="str">
        <x:v>EXP07</x:v>
      </x:c>
      <x:c r="D7" s="18" t="str">
        <x:f>IFERROR(VLOOKUP(C7,'Hành động chung'!$A$2:$D$98,2,FALSE),"")</x:f>
        <x:v>Khám phá nhiều khả năng</x:v>
      </x:c>
      <x:c r="E7" s="18" t="str">
        <x:f>IFERROR(VLOOKUP(C7,'Hành động chung'!$A$2:$D$98,3,FALSE),"")</x:f>
        <x:v>Khám phá và tìm hiểu</x:v>
      </x:c>
      <x:c r="F7" s="97" t="n">
        <x:v>0.25</x:v>
      </x:c>
      <x:c r="G7" s="53" t="str">
        <x:v>Thích xem xét nhiều khả năng</x:v>
      </x:c>
    </x:row>
    <x:row r="8">
      <x:c r="A8" s="93" t="str">
        <x:v>Nhà nghiên cứu</x:v>
      </x:c>
      <x:c r="B8" s="18" t="str">
        <x:v>Xây dựng giả thuyết</x:v>
      </x:c>
      <x:c r="C8" s="18" t="str">
        <x:v>ANA04</x:v>
      </x:c>
      <x:c r="D8" s="18" t="str">
        <x:f>IFERROR(VLOOKUP(C8,'Hành động chung'!$A$2:$D$98,2,FALSE),"")</x:f>
        <x:v>Suy luận logic</x:v>
      </x:c>
      <x:c r="E8" s="18" t="str">
        <x:f>IFERROR(VLOOKUP(C8,'Hành động chung'!$A$2:$D$98,3,FALSE),"")</x:f>
        <x:v>Phân tích và giải quyết vấn đề</x:v>
      </x:c>
      <x:c r="F8" s="97" t="n">
        <x:v>0.35</x:v>
      </x:c>
      <x:c r="G8" s="53" t="str">
        <x:v>Thích suy luận từ dữ kiện</x:v>
      </x:c>
    </x:row>
    <x:row r="9">
      <x:c r="A9" s="93" t="str">
        <x:v>Nhà nghiên cứu</x:v>
      </x:c>
      <x:c r="B9" s="18" t="str">
        <x:v>Xây dựng giả thuyết</x:v>
      </x:c>
      <x:c r="C9" s="18" t="str">
        <x:v>CRE01</x:v>
      </x:c>
      <x:c r="D9" s="18" t="str">
        <x:f>IFERROR(VLOOKUP(C9,'Hành động chung'!$A$2:$D$98,2,FALSE),"")</x:f>
        <x:v>Đề xuất ý tưởng mới</x:v>
      </x:c>
      <x:c r="E9" s="18" t="str">
        <x:f>IFERROR(VLOOKUP(C9,'Hành động chung'!$A$2:$D$98,3,FALSE),"")</x:f>
        <x:v>Sáng tạo và thiết kế</x:v>
      </x:c>
      <x:c r="F9" s="97" t="n">
        <x:v>0.35</x:v>
      </x:c>
      <x:c r="G9" s="53" t="str">
        <x:v>Thích đề xuất ý tưởng mới</x:v>
      </x:c>
    </x:row>
    <x:row r="10">
      <x:c r="A10" s="93" t="str">
        <x:v>Nhà nghiên cứu</x:v>
      </x:c>
      <x:c r="B10" s="18" t="str">
        <x:v>Xây dựng giả thuyết</x:v>
      </x:c>
      <x:c r="C10" s="18" t="str">
        <x:v>ANA06</x:v>
      </x:c>
      <x:c r="D10" s="18" t="str">
        <x:f>IFERROR(VLOOKUP(C10,'Hành động chung'!$A$2:$D$98,2,FALSE),"")</x:f>
        <x:v>Kiểm tra giả thuyết</x:v>
      </x:c>
      <x:c r="E10" s="18" t="str">
        <x:f>IFERROR(VLOOKUP(C10,'Hành động chung'!$A$2:$D$98,3,FALSE),"")</x:f>
        <x:v>Phân tích và giải quyết vấn đề</x:v>
      </x:c>
      <x:c r="F10" s="97" t="n">
        <x:v>0.3</x:v>
      </x:c>
      <x:c r="G10" s="53" t="str">
        <x:v>Thích kiểm tra một nhận định</x:v>
      </x:c>
    </x:row>
    <x:row r="11">
      <x:c r="A11" s="93" t="str">
        <x:v>Nhà nghiên cứu</x:v>
      </x:c>
      <x:c r="B11" s="18" t="str">
        <x:v>Chọn dữ liệu cần thu thập</x:v>
      </x:c>
      <x:c r="C11" s="18" t="str">
        <x:v>ANA01</x:v>
      </x:c>
      <x:c r="D11" s="18" t="str">
        <x:f>IFERROR(VLOOKUP(C11,'Hành động chung'!$A$2:$D$98,2,FALSE),"")</x:f>
        <x:v>Phân tích thông tin</x:v>
      </x:c>
      <x:c r="E11" s="18" t="str">
        <x:f>IFERROR(VLOOKUP(C11,'Hành động chung'!$A$2:$D$98,3,FALSE),"")</x:f>
        <x:v>Phân tích và giải quyết vấn đề</x:v>
      </x:c>
      <x:c r="F11" s="97" t="n">
        <x:v>0.3</x:v>
      </x:c>
      <x:c r="G11" s="53" t="str">
        <x:v>Thích phân tích thông tin trước khi lựa chọn</x:v>
      </x:c>
    </x:row>
    <x:row r="12">
      <x:c r="A12" s="93" t="str">
        <x:v>Nhà nghiên cứu</x:v>
      </x:c>
      <x:c r="B12" s="18" t="str">
        <x:v>Chọn dữ liệu cần thu thập</x:v>
      </x:c>
      <x:c r="C12" s="18" t="str">
        <x:v>ORG01</x:v>
      </x:c>
      <x:c r="D12" s="18" t="str">
        <x:f>IFERROR(VLOOKUP(C12,'Hành động chung'!$A$2:$D$98,2,FALSE),"")</x:f>
        <x:v>Lập kế hoạch</x:v>
      </x:c>
      <x:c r="E12" s="18" t="str">
        <x:f>IFERROR(VLOOKUP(C12,'Hành động chung'!$A$2:$D$98,3,FALSE),"")</x:f>
        <x:v>Lập kế hoạch và tổ chức</x:v>
      </x:c>
      <x:c r="F12" s="97" t="n">
        <x:v>0.3</x:v>
      </x:c>
      <x:c r="G12" s="53" t="str">
        <x:v>Thích lập kế hoạch</x:v>
      </x:c>
    </x:row>
    <x:row r="13">
      <x:c r="A13" s="93" t="str">
        <x:v>Nhà nghiên cứu</x:v>
      </x:c>
      <x:c r="B13" s="18" t="str">
        <x:v>Chọn dữ liệu cần thu thập</x:v>
      </x:c>
      <x:c r="C13" s="18" t="str">
        <x:v>ORG02</x:v>
      </x:c>
      <x:c r="D13" s="18" t="str">
        <x:f>IFERROR(VLOOKUP(C13,'Hành động chung'!$A$2:$D$98,2,FALSE),"")</x:f>
        <x:v>Sắp xếp thứ tự ưu tiên</x:v>
      </x:c>
      <x:c r="E13" s="18" t="str">
        <x:f>IFERROR(VLOOKUP(C13,'Hành động chung'!$A$2:$D$98,3,FALSE),"")</x:f>
        <x:v>Lập kế hoạch và tổ chức</x:v>
      </x:c>
      <x:c r="F13" s="97" t="n">
        <x:v>0.2</x:v>
      </x:c>
      <x:c r="G13" s="53" t="str">
        <x:v>Thích xác định thông tin quan trọng trước</x:v>
      </x:c>
    </x:row>
    <x:row r="14">
      <x:c r="A14" s="93" t="str">
        <x:v>Nhà nghiên cứu</x:v>
      </x:c>
      <x:c r="B14" s="18" t="str">
        <x:v>Chọn dữ liệu cần thu thập</x:v>
      </x:c>
      <x:c r="C14" s="18" t="str">
        <x:v>ORG07</x:v>
      </x:c>
      <x:c r="D14" s="18" t="str">
        <x:f>IFERROR(VLOOKUP(C14,'Hành động chung'!$A$2:$D$98,2,FALSE),"")</x:f>
        <x:v>Chuẩn bị nguồn lực</x:v>
      </x:c>
      <x:c r="E14" s="18" t="str">
        <x:f>IFERROR(VLOOKUP(C14,'Hành động chung'!$A$2:$D$98,3,FALSE),"")</x:f>
        <x:v>Lập kế hoạch và tổ chức</x:v>
      </x:c>
      <x:c r="F14" s="97" t="n">
        <x:v>0.2</x:v>
      </x:c>
      <x:c r="G14" s="53" t="str">
        <x:v>Thích chuẩn bị nguồn lực cần thiết</x:v>
      </x:c>
    </x:row>
    <x:row r="15">
      <x:c r="A15" s="93" t="str">
        <x:v>Nhà nghiên cứu</x:v>
      </x:c>
      <x:c r="B15" s="18" t="str">
        <x:v>Thu thập dữ liệu</x:v>
      </x:c>
      <x:c r="C15" s="18" t="str">
        <x:v>DAT01</x:v>
      </x:c>
      <x:c r="D15" s="18" t="str">
        <x:f>IFERROR(VLOOKUP(C15,'Hành động chung'!$A$2:$D$98,2,FALSE),"")</x:f>
        <x:v>Thu thập dữ liệu</x:v>
      </x:c>
      <x:c r="E15" s="18" t="str">
        <x:f>IFERROR(VLOOKUP(C15,'Hành động chung'!$A$2:$D$98,3,FALSE),"")</x:f>
        <x:v>Làm việc với dữ liệu và độ chính xác</x:v>
      </x:c>
      <x:c r="F15" s="97" t="n">
        <x:v>0.45</x:v>
      </x:c>
      <x:c r="G15" s="53" t="str">
        <x:v>Mức hứng thú với việc ghi nhận dữ liệu</x:v>
      </x:c>
    </x:row>
    <x:row r="16">
      <x:c r="A16" s="93" t="str">
        <x:v>Nhà nghiên cứu</x:v>
      </x:c>
      <x:c r="B16" s="18" t="str">
        <x:v>Thu thập dữ liệu</x:v>
      </x:c>
      <x:c r="C16" s="18" t="str">
        <x:v>QUA04</x:v>
      </x:c>
      <x:c r="D16" s="18" t="str">
        <x:f>IFERROR(VLOOKUP(C16,'Hành động chung'!$A$2:$D$98,2,FALSE),"")</x:f>
        <x:v>Ghi chép đầy đủ</x:v>
      </x:c>
      <x:c r="E16" s="18" t="str">
        <x:f>IFERROR(VLOOKUP(C16,'Hành động chung'!$A$2:$D$98,3,FALSE),"")</x:f>
        <x:v>Tuân thủ và kiểm soát chất lượng</x:v>
      </x:c>
      <x:c r="F16" s="97" t="n">
        <x:v>0.3</x:v>
      </x:c>
      <x:c r="G16" s="53" t="str">
        <x:v>Mức thoải mái với ghi chép đầy đủ</x:v>
      </x:c>
    </x:row>
    <x:row r="17">
      <x:c r="A17" s="93" t="str">
        <x:v>Nhà nghiên cứu</x:v>
      </x:c>
      <x:c r="B17" s="18" t="str">
        <x:v>Thu thập dữ liệu</x:v>
      </x:c>
      <x:c r="C17" s="18" t="str">
        <x:v>PER01</x:v>
      </x:c>
      <x:c r="D17" s="18" t="str">
        <x:f>IFERROR(VLOOKUP(C17,'Hành động chung'!$A$2:$D$98,2,FALSE),"")</x:f>
        <x:v>Làm việc lặp lại</x:v>
      </x:c>
      <x:c r="E17" s="18" t="str">
        <x:f>IFERROR(VLOOKUP(C17,'Hành động chung'!$A$2:$D$98,3,FALSE),"")</x:f>
        <x:v>Kiên trì và theo đuổi dài hạn</x:v>
      </x:c>
      <x:c r="F17" s="97" t="n">
        <x:v>0.25</x:v>
      </x:c>
      <x:c r="G17" s="53" t="str">
        <x:v>Mức chấp nhận công việc có tính lặp lại</x:v>
      </x:c>
    </x:row>
    <x:row r="18">
      <x:c r="A18" s="93" t="str">
        <x:v>Nhà nghiên cứu</x:v>
      </x:c>
      <x:c r="B18" s="18" t="str">
        <x:v>Chờ kết quả thí nghiệm</x:v>
      </x:c>
      <x:c r="C18" s="18" t="str">
        <x:v>PER02</x:v>
      </x:c>
      <x:c r="D18" s="18" t="str">
        <x:f>IFERROR(VLOOKUP(C18,'Hành động chung'!$A$2:$D$98,2,FALSE),"")</x:f>
        <x:v>Chờ đợi kết quả</x:v>
      </x:c>
      <x:c r="E18" s="18" t="str">
        <x:f>IFERROR(VLOOKUP(C18,'Hành động chung'!$A$2:$D$98,3,FALSE),"")</x:f>
        <x:v>Kiên trì và theo đuổi dài hạn</x:v>
      </x:c>
      <x:c r="F18" s="97" t="n">
        <x:v>0.4</x:v>
      </x:c>
      <x:c r="G18" s="53" t="str">
        <x:v>Mức thoải mái khi phải chờ kết quả</x:v>
      </x:c>
    </x:row>
    <x:row r="19">
      <x:c r="A19" s="93" t="str">
        <x:v>Nhà nghiên cứu</x:v>
      </x:c>
      <x:c r="B19" s="18" t="str">
        <x:v>Chờ kết quả thí nghiệm</x:v>
      </x:c>
      <x:c r="C19" s="18" t="str">
        <x:v>PER05</x:v>
      </x:c>
      <x:c r="D19" s="18" t="str">
        <x:f>IFERROR(VLOOKUP(C19,'Hành động chung'!$A$2:$D$98,2,FALSE),"")</x:f>
        <x:v>Duy trì sự tập trung</x:v>
      </x:c>
      <x:c r="E19" s="18" t="str">
        <x:f>IFERROR(VLOOKUP(C19,'Hành động chung'!$A$2:$D$98,3,FALSE),"")</x:f>
        <x:v>Kiên trì và theo đuổi dài hạn</x:v>
      </x:c>
      <x:c r="F19" s="97" t="n">
        <x:v>0.3</x:v>
      </x:c>
      <x:c r="G19" s="53" t="str">
        <x:v>Khả năng duy trì tập trung dài hơn</x:v>
      </x:c>
    </x:row>
    <x:row r="20">
      <x:c r="A20" s="93" t="str">
        <x:v>Nhà nghiên cứu</x:v>
      </x:c>
      <x:c r="B20" s="18" t="str">
        <x:v>Chờ kết quả thí nghiệm</x:v>
      </x:c>
      <x:c r="C20" s="18" t="str">
        <x:v>PER07</x:v>
      </x:c>
      <x:c r="D20" s="18" t="str">
        <x:f>IFERROR(VLOOKUP(C20,'Hành động chung'!$A$2:$D$98,2,FALSE),"")</x:f>
        <x:v>Chấp nhận tiến bộ chậm</x:v>
      </x:c>
      <x:c r="E20" s="18" t="str">
        <x:f>IFERROR(VLOOKUP(C20,'Hành động chung'!$A$2:$D$98,3,FALSE),"")</x:f>
        <x:v>Kiên trì và theo đuổi dài hạn</x:v>
      </x:c>
      <x:c r="F20" s="97" t="n">
        <x:v>0.3</x:v>
      </x:c>
      <x:c r="G20" s="53" t="str">
        <x:v>Mức chấp nhận tiến bộ chậm</x:v>
      </x:c>
    </x:row>
    <x:row r="21">
      <x:c r="A21" s="93" t="str">
        <x:v>Nhà nghiên cứu</x:v>
      </x:c>
      <x:c r="B21" s="18" t="str">
        <x:v>Phân tích kết quả trái với giả thuyết</x:v>
      </x:c>
      <x:c r="C21" s="18" t="str">
        <x:v>ANA07</x:v>
      </x:c>
      <x:c r="D21" s="18" t="str">
        <x:f>IFERROR(VLOOKUP(C21,'Hành động chung'!$A$2:$D$98,2,FALSE),"")</x:f>
        <x:v>Đánh giá bằng chứng</x:v>
      </x:c>
      <x:c r="E21" s="18" t="str">
        <x:f>IFERROR(VLOOKUP(C21,'Hành động chung'!$A$2:$D$98,3,FALSE),"")</x:f>
        <x:v>Phân tích và giải quyết vấn đề</x:v>
      </x:c>
      <x:c r="F21" s="97" t="n">
        <x:v>0.35</x:v>
      </x:c>
      <x:c r="G21" s="53" t="str">
        <x:v>Thích đánh giá bằng chứng hơn là bảo vệ ý kiến ban đầu</x:v>
      </x:c>
    </x:row>
    <x:row r="22">
      <x:c r="A22" s="93" t="str">
        <x:v>Nhà nghiên cứu</x:v>
      </x:c>
      <x:c r="B22" s="18" t="str">
        <x:v>Phân tích kết quả trái với giả thuyết</x:v>
      </x:c>
      <x:c r="C22" s="18" t="str">
        <x:v>CRT02</x:v>
      </x:c>
      <x:c r="D22" s="18" t="str">
        <x:f>IFERROR(VLOOKUP(C22,'Hành động chung'!$A$2:$D$98,2,FALSE),"")</x:f>
        <x:v>Thừa nhận sai sót</x:v>
      </x:c>
      <x:c r="E22" s="18" t="str">
        <x:f>IFERROR(VLOOKUP(C22,'Hành động chung'!$A$2:$D$98,3,FALSE),"")</x:f>
        <x:v>Phản biện và tự điều chỉnh</x:v>
      </x:c>
      <x:c r="F22" s="97" t="n">
        <x:v>0.3</x:v>
      </x:c>
      <x:c r="G22" s="53" t="str">
        <x:v>Mức sẵn sàng thừa nhận nhận định chưa đúng</x:v>
      </x:c>
    </x:row>
    <x:row r="23">
      <x:c r="A23" s="93" t="str">
        <x:v>Nhà nghiên cứu</x:v>
      </x:c>
      <x:c r="B23" s="18" t="str">
        <x:v>Phân tích kết quả trái với giả thuyết</x:v>
      </x:c>
      <x:c r="C23" s="18" t="str">
        <x:v>CRT03</x:v>
      </x:c>
      <x:c r="D23" s="18" t="str">
        <x:f>IFERROR(VLOOKUP(C23,'Hành động chung'!$A$2:$D$98,2,FALSE),"")</x:f>
        <x:v>Điều chỉnh phương án</x:v>
      </x:c>
      <x:c r="E23" s="18" t="str">
        <x:f>IFERROR(VLOOKUP(C23,'Hành động chung'!$A$2:$D$98,3,FALSE),"")</x:f>
        <x:v>Phản biện và tự điều chỉnh</x:v>
      </x:c>
      <x:c r="F23" s="97" t="n">
        <x:v>0.35</x:v>
      </x:c>
      <x:c r="G23" s="53" t="str">
        <x:v>Mức sẵn sàng điều chỉnh phương án</x:v>
      </x:c>
    </x:row>
    <x:row r="24">
      <x:c r="A24" s="93" t="str">
        <x:v>Nhà nghiên cứu</x:v>
      </x:c>
      <x:c r="B24" s="18" t="str">
        <x:v>Nêu giới hạn của kết luận</x:v>
      </x:c>
      <x:c r="C24" s="18" t="str">
        <x:v>CRT04</x:v>
      </x:c>
      <x:c r="D24" s="18" t="str">
        <x:f>IFERROR(VLOOKUP(C24,'Hành động chung'!$A$2:$D$98,2,FALSE),"")</x:f>
        <x:v>Nêu giới hạn</x:v>
      </x:c>
      <x:c r="E24" s="18" t="str">
        <x:f>IFERROR(VLOOKUP(C24,'Hành động chung'!$A$2:$D$98,3,FALSE),"")</x:f>
        <x:v>Phản biện và tự điều chỉnh</x:v>
      </x:c>
      <x:c r="F24" s="97" t="n">
        <x:v>0.5</x:v>
      </x:c>
      <x:c r="G24" s="53" t="str">
        <x:v>Thích nhìn nhận giới hạn của kết quả</x:v>
      </x:c>
    </x:row>
    <x:row r="25">
      <x:c r="A25" s="93" t="str">
        <x:v>Nhà nghiên cứu</x:v>
      </x:c>
      <x:c r="B25" s="18" t="str">
        <x:v>Nêu giới hạn của kết luận</x:v>
      </x:c>
      <x:c r="C25" s="18" t="str">
        <x:v>CRT05</x:v>
      </x:c>
      <x:c r="D25" s="18" t="str">
        <x:f>IFERROR(VLOOKUP(C25,'Hành động chung'!$A$2:$D$98,2,FALSE),"")</x:f>
        <x:v>Tự đánh giá</x:v>
      </x:c>
      <x:c r="E25" s="18" t="str">
        <x:f>IFERROR(VLOOKUP(C25,'Hành động chung'!$A$2:$D$98,3,FALSE),"")</x:f>
        <x:v>Phản biện và tự điều chỉnh</x:v>
      </x:c>
      <x:c r="F25" s="97" t="n">
        <x:v>0.25</x:v>
      </x:c>
      <x:c r="G25" s="53" t="str">
        <x:v>Khả năng tự đánh giá</x:v>
      </x:c>
    </x:row>
    <x:row r="26">
      <x:c r="A26" s="94" t="str">
        <x:v>Nhà nghiên cứu</x:v>
      </x:c>
      <x:c r="B26" s="54" t="str">
        <x:v>Nêu giới hạn của kết luận</x:v>
      </x:c>
      <x:c r="C26" s="54" t="str">
        <x:v>QUA03</x:v>
      </x:c>
      <x:c r="D26" s="54" t="str">
        <x:f>IFERROR(VLOOKUP(C26,'Hành động chung'!$A$2:$D$98,2,FALSE),"")</x:f>
        <x:v>Chú ý chi tiết</x:v>
      </x:c>
      <x:c r="E26" s="54" t="str">
        <x:f>IFERROR(VLOOKUP(C26,'Hành động chung'!$A$2:$D$98,3,FALSE),"")</x:f>
        <x:v>Tuân thủ và kiểm soát chất lượng</x:v>
      </x:c>
      <x:c r="F26" s="98" t="n">
        <x:v>0.25</x:v>
      </x:c>
      <x:c r="G26" s="55" t="str">
        <x:v>Mức chú ý đến chi tiết và sai khác nhỏ</x:v>
      </x:c>
    </x:row>
  </x:sheetData>
  <x:pageMargins left="0.7" right="0.7" top="0.75" bottom="0.75" header="0.3" footer="0.3"/>
  <x:tableParts count="1">
    <x:tablePart xmlns:r="http://schemas.openxmlformats.org/officeDocument/2006/relationships" r:id="Rd59a370f73e045b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" hidden="0" customWidth="1"/>
    <x:col min="3" max="3" width="22" hidden="0" customWidth="1"/>
    <x:col min="4" max="4" width="42" hidden="0" customWidth="1"/>
    <x:col min="5" max="5" width="18" hidden="0" customWidth="1"/>
    <x:col min="6" max="6" width="31" hidden="0" customWidth="1"/>
    <x:col min="7" max="7" width="37" hidden="0" customWidth="1"/>
    <x:col min="8" max="8" width="19" hidden="0" customWidth="1"/>
    <x:col min="9" max="9" width="14" hidden="0" customWidth="1"/>
    <x:col min="10" max="10" width="38" hidden="0" customWidth="1"/>
    <x:col min="11" max="11" width="22" hidden="0" customWidth="1"/>
    <x:col min="12" max="12" width="15" hidden="0" customWidth="1"/>
    <x:col min="13" max="13" width="18" hidden="0" customWidth="1"/>
    <x:col min="14" max="14" width="40" hidden="0" customWidth="1"/>
  </x:cols>
  <x:sheetData>
    <x:row r="1">
      <x:c r="A1" s="101" t="str">
        <x:v>Mã học sinh</x:v>
      </x:c>
      <x:c r="B1" s="102" t="str">
        <x:v>Khối</x:v>
      </x:c>
      <x:c r="C1" s="102" t="str">
        <x:v>Nghề mô phỏng</x:v>
      </x:c>
      <x:c r="D1" s="102" t="str">
        <x:v>Hành động nghề nghiệp</x:v>
      </x:c>
      <x:c r="E1" s="102" t="str">
        <x:v>Mã hành động chung</x:v>
      </x:c>
      <x:c r="F1" s="102" t="str">
        <x:v>Hành động chung</x:v>
      </x:c>
      <x:c r="G1" s="102" t="str">
        <x:v>Nhóm hành động</x:v>
      </x:c>
      <x:c r="H1" s="102" t="str">
        <x:v>Cảm xúc</x:v>
      </x:c>
      <x:c r="I1" s="102" t="str">
        <x:v>Điểm cảm xúc</x:v>
      </x:c>
      <x:c r="J1" s="102" t="str">
        <x:v>Lý do</x:v>
      </x:c>
      <x:c r="K1" s="102" t="str">
        <x:v>Mức trải nghiệm</x:v>
      </x:c>
      <x:c r="L1" s="102" t="str">
        <x:v>Độ chắc chắn</x:v>
      </x:c>
      <x:c r="M1" s="102" t="str">
        <x:v>Điểm có trọng số</x:v>
      </x:c>
      <x:c r="N1" s="103" t="str">
        <x:v>Ghi chú quan sát</x:v>
      </x:c>
    </x:row>
    <x:row r="2">
      <x:c r="A2" s="117"/>
      <x:c r="B2" s="118"/>
      <x:c r="C2" s="64"/>
      <x:c r="D2" s="64"/>
      <x:c r="E2" s="64"/>
      <x:c r="F2" s="64" t="str">
        <x:f>IFERROR(VLOOKUP(E2,'Hành động chung'!$A$2:$D$98,2,FALSE),"")</x:f>
      </x:c>
      <x:c r="G2" s="64" t="str">
        <x:f>IFERROR(VLOOKUP(E2,'Hành động chung'!$A$2:$D$98,3,FALSE),"")</x:f>
      </x:c>
      <x:c r="H2" s="64"/>
      <x:c r="I2" s="118" t="str">
        <x:f>IF(H2="","",IF(H2="Rất không thích",-2,IF(H2="Không thích",-1,IF(H2="Bình thường",0,IF(H2="Thích",1,IF(H2="Rất thích",2,""))))))</x:f>
      </x:c>
      <x:c r="J2" s="64"/>
      <x:c r="K2" s="64"/>
      <x:c r="L2" s="64"/>
      <x:c r="M2" s="64" t="str">
        <x:f>IF(OR(I2="",K2="",L2=""),"",I2*IF(K2="0 - Chưa từng",0,IF(K2="1 - Ít trải nghiệm",1/3,IF(K2="2 - Có trải nghiệm",2/3,1)))*(L2/5))</x:f>
      </x:c>
      <x:c r="N2" s="131"/>
    </x:row>
    <x:row r="3">
      <x:c r="A3" s="117"/>
      <x:c r="B3" s="118"/>
      <x:c r="C3" s="64"/>
      <x:c r="D3" s="64"/>
      <x:c r="E3" s="64"/>
      <x:c r="F3" s="64" t="str">
        <x:f>IFERROR(VLOOKUP(E3,'Hành động chung'!$A$2:$D$98,2,FALSE),"")</x:f>
      </x:c>
      <x:c r="G3" s="64" t="str">
        <x:f>IFERROR(VLOOKUP(E3,'Hành động chung'!$A$2:$D$98,3,FALSE),"")</x:f>
      </x:c>
      <x:c r="H3" s="64"/>
      <x:c r="I3" s="118" t="str">
        <x:f>IF(H3="","",IF(H3="Rất không thích",-2,IF(H3="Không thích",-1,IF(H3="Bình thường",0,IF(H3="Thích",1,IF(H3="Rất thích",2,""))))))</x:f>
      </x:c>
      <x:c r="J3" s="64"/>
      <x:c r="K3" s="64"/>
      <x:c r="L3" s="64"/>
      <x:c r="M3" s="64" t="str">
        <x:f>IF(OR(I3="",K3="",L3=""),"",I3*IF(K3="0 - Chưa từng",0,IF(K3="1 - Ít trải nghiệm",1/3,IF(K3="2 - Có trải nghiệm",2/3,1)))*(L3/5))</x:f>
      </x:c>
      <x:c r="N3" s="131"/>
    </x:row>
    <x:row r="4">
      <x:c r="A4" s="117"/>
      <x:c r="B4" s="118"/>
      <x:c r="C4" s="64"/>
      <x:c r="D4" s="64"/>
      <x:c r="E4" s="64"/>
      <x:c r="F4" s="64" t="str">
        <x:f>IFERROR(VLOOKUP(E4,'Hành động chung'!$A$2:$D$98,2,FALSE),"")</x:f>
      </x:c>
      <x:c r="G4" s="64" t="str">
        <x:f>IFERROR(VLOOKUP(E4,'Hành động chung'!$A$2:$D$98,3,FALSE),"")</x:f>
      </x:c>
      <x:c r="H4" s="64"/>
      <x:c r="I4" s="118" t="str">
        <x:f>IF(H4="","",IF(H4="Rất không thích",-2,IF(H4="Không thích",-1,IF(H4="Bình thường",0,IF(H4="Thích",1,IF(H4="Rất thích",2,""))))))</x:f>
      </x:c>
      <x:c r="J4" s="64"/>
      <x:c r="K4" s="64"/>
      <x:c r="L4" s="64"/>
      <x:c r="M4" s="64" t="str">
        <x:f>IF(OR(I4="",K4="",L4=""),"",I4*IF(K4="0 - Chưa từng",0,IF(K4="1 - Ít trải nghiệm",1/3,IF(K4="2 - Có trải nghiệm",2/3,1)))*(L4/5))</x:f>
      </x:c>
      <x:c r="N4" s="131"/>
    </x:row>
    <x:row r="5">
      <x:c r="A5" s="117"/>
      <x:c r="B5" s="118"/>
      <x:c r="C5" s="64"/>
      <x:c r="D5" s="64"/>
      <x:c r="E5" s="64"/>
      <x:c r="F5" s="64" t="str">
        <x:f>IFERROR(VLOOKUP(E5,'Hành động chung'!$A$2:$D$98,2,FALSE),"")</x:f>
      </x:c>
      <x:c r="G5" s="64" t="str">
        <x:f>IFERROR(VLOOKUP(E5,'Hành động chung'!$A$2:$D$98,3,FALSE),"")</x:f>
      </x:c>
      <x:c r="H5" s="64"/>
      <x:c r="I5" s="118" t="str">
        <x:f>IF(H5="","",IF(H5="Rất không thích",-2,IF(H5="Không thích",-1,IF(H5="Bình thường",0,IF(H5="Thích",1,IF(H5="Rất thích",2,""))))))</x:f>
      </x:c>
      <x:c r="J5" s="64"/>
      <x:c r="K5" s="64"/>
      <x:c r="L5" s="64"/>
      <x:c r="M5" s="64" t="str">
        <x:f>IF(OR(I5="",K5="",L5=""),"",I5*IF(K5="0 - Chưa từng",0,IF(K5="1 - Ít trải nghiệm",1/3,IF(K5="2 - Có trải nghiệm",2/3,1)))*(L5/5))</x:f>
      </x:c>
      <x:c r="N5" s="131"/>
    </x:row>
    <x:row r="6">
      <x:c r="A6" s="117"/>
      <x:c r="B6" s="118"/>
      <x:c r="C6" s="64"/>
      <x:c r="D6" s="64"/>
      <x:c r="E6" s="64"/>
      <x:c r="F6" s="64" t="str">
        <x:f>IFERROR(VLOOKUP(E6,'Hành động chung'!$A$2:$D$98,2,FALSE),"")</x:f>
      </x:c>
      <x:c r="G6" s="64" t="str">
        <x:f>IFERROR(VLOOKUP(E6,'Hành động chung'!$A$2:$D$98,3,FALSE),"")</x:f>
      </x:c>
      <x:c r="H6" s="64"/>
      <x:c r="I6" s="118" t="str">
        <x:f>IF(H6="","",IF(H6="Rất không thích",-2,IF(H6="Không thích",-1,IF(H6="Bình thường",0,IF(H6="Thích",1,IF(H6="Rất thích",2,""))))))</x:f>
      </x:c>
      <x:c r="J6" s="64"/>
      <x:c r="K6" s="64"/>
      <x:c r="L6" s="64"/>
      <x:c r="M6" s="64" t="str">
        <x:f>IF(OR(I6="",K6="",L6=""),"",I6*IF(K6="0 - Chưa từng",0,IF(K6="1 - Ít trải nghiệm",1/3,IF(K6="2 - Có trải nghiệm",2/3,1)))*(L6/5))</x:f>
      </x:c>
      <x:c r="N6" s="131"/>
    </x:row>
    <x:row r="7">
      <x:c r="A7" s="117"/>
      <x:c r="B7" s="118"/>
      <x:c r="C7" s="64"/>
      <x:c r="D7" s="64"/>
      <x:c r="E7" s="64"/>
      <x:c r="F7" s="64" t="str">
        <x:f>IFERROR(VLOOKUP(E7,'Hành động chung'!$A$2:$D$98,2,FALSE),"")</x:f>
      </x:c>
      <x:c r="G7" s="64" t="str">
        <x:f>IFERROR(VLOOKUP(E7,'Hành động chung'!$A$2:$D$98,3,FALSE),"")</x:f>
      </x:c>
      <x:c r="H7" s="64"/>
      <x:c r="I7" s="118" t="str">
        <x:f>IF(H7="","",IF(H7="Rất không thích",-2,IF(H7="Không thích",-1,IF(H7="Bình thường",0,IF(H7="Thích",1,IF(H7="Rất thích",2,""))))))</x:f>
      </x:c>
      <x:c r="J7" s="64"/>
      <x:c r="K7" s="64"/>
      <x:c r="L7" s="64"/>
      <x:c r="M7" s="64" t="str">
        <x:f>IF(OR(I7="",K7="",L7=""),"",I7*IF(K7="0 - Chưa từng",0,IF(K7="1 - Ít trải nghiệm",1/3,IF(K7="2 - Có trải nghiệm",2/3,1)))*(L7/5))</x:f>
      </x:c>
      <x:c r="N7" s="131"/>
    </x:row>
    <x:row r="8">
      <x:c r="A8" s="117"/>
      <x:c r="B8" s="118"/>
      <x:c r="C8" s="64"/>
      <x:c r="D8" s="64"/>
      <x:c r="E8" s="64"/>
      <x:c r="F8" s="64" t="str">
        <x:f>IFERROR(VLOOKUP(E8,'Hành động chung'!$A$2:$D$98,2,FALSE),"")</x:f>
      </x:c>
      <x:c r="G8" s="64" t="str">
        <x:f>IFERROR(VLOOKUP(E8,'Hành động chung'!$A$2:$D$98,3,FALSE),"")</x:f>
      </x:c>
      <x:c r="H8" s="64"/>
      <x:c r="I8" s="118" t="str">
        <x:f>IF(H8="","",IF(H8="Rất không thích",-2,IF(H8="Không thích",-1,IF(H8="Bình thường",0,IF(H8="Thích",1,IF(H8="Rất thích",2,""))))))</x:f>
      </x:c>
      <x:c r="J8" s="64"/>
      <x:c r="K8" s="64"/>
      <x:c r="L8" s="64"/>
      <x:c r="M8" s="64" t="str">
        <x:f>IF(OR(I8="",K8="",L8=""),"",I8*IF(K8="0 - Chưa từng",0,IF(K8="1 - Ít trải nghiệm",1/3,IF(K8="2 - Có trải nghiệm",2/3,1)))*(L8/5))</x:f>
      </x:c>
      <x:c r="N8" s="131"/>
    </x:row>
    <x:row r="9">
      <x:c r="A9" s="117"/>
      <x:c r="B9" s="118"/>
      <x:c r="C9" s="64"/>
      <x:c r="D9" s="64"/>
      <x:c r="E9" s="64"/>
      <x:c r="F9" s="64" t="str">
        <x:f>IFERROR(VLOOKUP(E9,'Hành động chung'!$A$2:$D$98,2,FALSE),"")</x:f>
      </x:c>
      <x:c r="G9" s="64" t="str">
        <x:f>IFERROR(VLOOKUP(E9,'Hành động chung'!$A$2:$D$98,3,FALSE),"")</x:f>
      </x:c>
      <x:c r="H9" s="64"/>
      <x:c r="I9" s="118" t="str">
        <x:f>IF(H9="","",IF(H9="Rất không thích",-2,IF(H9="Không thích",-1,IF(H9="Bình thường",0,IF(H9="Thích",1,IF(H9="Rất thích",2,""))))))</x:f>
      </x:c>
      <x:c r="J9" s="64"/>
      <x:c r="K9" s="64"/>
      <x:c r="L9" s="64"/>
      <x:c r="M9" s="64" t="str">
        <x:f>IF(OR(I9="",K9="",L9=""),"",I9*IF(K9="0 - Chưa từng",0,IF(K9="1 - Ít trải nghiệm",1/3,IF(K9="2 - Có trải nghiệm",2/3,1)))*(L9/5))</x:f>
      </x:c>
      <x:c r="N9" s="131"/>
    </x:row>
    <x:row r="10">
      <x:c r="A10" s="117"/>
      <x:c r="B10" s="118"/>
      <x:c r="C10" s="64"/>
      <x:c r="D10" s="64"/>
      <x:c r="E10" s="64"/>
      <x:c r="F10" s="64" t="str">
        <x:f>IFERROR(VLOOKUP(E10,'Hành động chung'!$A$2:$D$98,2,FALSE),"")</x:f>
      </x:c>
      <x:c r="G10" s="64" t="str">
        <x:f>IFERROR(VLOOKUP(E10,'Hành động chung'!$A$2:$D$98,3,FALSE),"")</x:f>
      </x:c>
      <x:c r="H10" s="64"/>
      <x:c r="I10" s="118" t="str">
        <x:f>IF(H10="","",IF(H10="Rất không thích",-2,IF(H10="Không thích",-1,IF(H10="Bình thường",0,IF(H10="Thích",1,IF(H10="Rất thích",2,""))))))</x:f>
      </x:c>
      <x:c r="J10" s="64"/>
      <x:c r="K10" s="64"/>
      <x:c r="L10" s="64"/>
      <x:c r="M10" s="64" t="str">
        <x:f>IF(OR(I10="",K10="",L10=""),"",I10*IF(K10="0 - Chưa từng",0,IF(K10="1 - Ít trải nghiệm",1/3,IF(K10="2 - Có trải nghiệm",2/3,1)))*(L10/5))</x:f>
      </x:c>
      <x:c r="N10" s="131"/>
    </x:row>
    <x:row r="11">
      <x:c r="A11" s="117"/>
      <x:c r="B11" s="118"/>
      <x:c r="C11" s="64"/>
      <x:c r="D11" s="64"/>
      <x:c r="E11" s="64"/>
      <x:c r="F11" s="64" t="str">
        <x:f>IFERROR(VLOOKUP(E11,'Hành động chung'!$A$2:$D$98,2,FALSE),"")</x:f>
      </x:c>
      <x:c r="G11" s="64" t="str">
        <x:f>IFERROR(VLOOKUP(E11,'Hành động chung'!$A$2:$D$98,3,FALSE),"")</x:f>
      </x:c>
      <x:c r="H11" s="64"/>
      <x:c r="I11" s="118" t="str">
        <x:f>IF(H11="","",IF(H11="Rất không thích",-2,IF(H11="Không thích",-1,IF(H11="Bình thường",0,IF(H11="Thích",1,IF(H11="Rất thích",2,""))))))</x:f>
      </x:c>
      <x:c r="J11" s="64"/>
      <x:c r="K11" s="64"/>
      <x:c r="L11" s="64"/>
      <x:c r="M11" s="64" t="str">
        <x:f>IF(OR(I11="",K11="",L11=""),"",I11*IF(K11="0 - Chưa từng",0,IF(K11="1 - Ít trải nghiệm",1/3,IF(K11="2 - Có trải nghiệm",2/3,1)))*(L11/5))</x:f>
      </x:c>
      <x:c r="N11" s="131"/>
    </x:row>
    <x:row r="12">
      <x:c r="A12" s="117"/>
      <x:c r="B12" s="118"/>
      <x:c r="C12" s="64"/>
      <x:c r="D12" s="64"/>
      <x:c r="E12" s="64"/>
      <x:c r="F12" s="64" t="str">
        <x:f>IFERROR(VLOOKUP(E12,'Hành động chung'!$A$2:$D$98,2,FALSE),"")</x:f>
      </x:c>
      <x:c r="G12" s="64" t="str">
        <x:f>IFERROR(VLOOKUP(E12,'Hành động chung'!$A$2:$D$98,3,FALSE),"")</x:f>
      </x:c>
      <x:c r="H12" s="64"/>
      <x:c r="I12" s="118" t="str">
        <x:f>IF(H12="","",IF(H12="Rất không thích",-2,IF(H12="Không thích",-1,IF(H12="Bình thường",0,IF(H12="Thích",1,IF(H12="Rất thích",2,""))))))</x:f>
      </x:c>
      <x:c r="J12" s="64"/>
      <x:c r="K12" s="64"/>
      <x:c r="L12" s="64"/>
      <x:c r="M12" s="64" t="str">
        <x:f>IF(OR(I12="",K12="",L12=""),"",I12*IF(K12="0 - Chưa từng",0,IF(K12="1 - Ít trải nghiệm",1/3,IF(K12="2 - Có trải nghiệm",2/3,1)))*(L12/5))</x:f>
      </x:c>
      <x:c r="N12" s="131"/>
    </x:row>
    <x:row r="13">
      <x:c r="A13" s="117"/>
      <x:c r="B13" s="118"/>
      <x:c r="C13" s="64"/>
      <x:c r="D13" s="64"/>
      <x:c r="E13" s="64"/>
      <x:c r="F13" s="64" t="str">
        <x:f>IFERROR(VLOOKUP(E13,'Hành động chung'!$A$2:$D$98,2,FALSE),"")</x:f>
      </x:c>
      <x:c r="G13" s="64" t="str">
        <x:f>IFERROR(VLOOKUP(E13,'Hành động chung'!$A$2:$D$98,3,FALSE),"")</x:f>
      </x:c>
      <x:c r="H13" s="64"/>
      <x:c r="I13" s="118" t="str">
        <x:f>IF(H13="","",IF(H13="Rất không thích",-2,IF(H13="Không thích",-1,IF(H13="Bình thường",0,IF(H13="Thích",1,IF(H13="Rất thích",2,""))))))</x:f>
      </x:c>
      <x:c r="J13" s="64"/>
      <x:c r="K13" s="64"/>
      <x:c r="L13" s="64"/>
      <x:c r="M13" s="64" t="str">
        <x:f>IF(OR(I13="",K13="",L13=""),"",I13*IF(K13="0 - Chưa từng",0,IF(K13="1 - Ít trải nghiệm",1/3,IF(K13="2 - Có trải nghiệm",2/3,1)))*(L13/5))</x:f>
      </x:c>
      <x:c r="N13" s="131"/>
    </x:row>
    <x:row r="14">
      <x:c r="A14" s="117"/>
      <x:c r="B14" s="118"/>
      <x:c r="C14" s="64"/>
      <x:c r="D14" s="64"/>
      <x:c r="E14" s="64"/>
      <x:c r="F14" s="64" t="str">
        <x:f>IFERROR(VLOOKUP(E14,'Hành động chung'!$A$2:$D$98,2,FALSE),"")</x:f>
      </x:c>
      <x:c r="G14" s="64" t="str">
        <x:f>IFERROR(VLOOKUP(E14,'Hành động chung'!$A$2:$D$98,3,FALSE),"")</x:f>
      </x:c>
      <x:c r="H14" s="64"/>
      <x:c r="I14" s="118" t="str">
        <x:f>IF(H14="","",IF(H14="Rất không thích",-2,IF(H14="Không thích",-1,IF(H14="Bình thường",0,IF(H14="Thích",1,IF(H14="Rất thích",2,""))))))</x:f>
      </x:c>
      <x:c r="J14" s="64"/>
      <x:c r="K14" s="64"/>
      <x:c r="L14" s="64"/>
      <x:c r="M14" s="64" t="str">
        <x:f>IF(OR(I14="",K14="",L14=""),"",I14*IF(K14="0 - Chưa từng",0,IF(K14="1 - Ít trải nghiệm",1/3,IF(K14="2 - Có trải nghiệm",2/3,1)))*(L14/5))</x:f>
      </x:c>
      <x:c r="N14" s="131"/>
    </x:row>
    <x:row r="15">
      <x:c r="A15" s="117"/>
      <x:c r="B15" s="118"/>
      <x:c r="C15" s="64"/>
      <x:c r="D15" s="64"/>
      <x:c r="E15" s="64"/>
      <x:c r="F15" s="64" t="str">
        <x:f>IFERROR(VLOOKUP(E15,'Hành động chung'!$A$2:$D$98,2,FALSE),"")</x:f>
      </x:c>
      <x:c r="G15" s="64" t="str">
        <x:f>IFERROR(VLOOKUP(E15,'Hành động chung'!$A$2:$D$98,3,FALSE),"")</x:f>
      </x:c>
      <x:c r="H15" s="64"/>
      <x:c r="I15" s="118" t="str">
        <x:f>IF(H15="","",IF(H15="Rất không thích",-2,IF(H15="Không thích",-1,IF(H15="Bình thường",0,IF(H15="Thích",1,IF(H15="Rất thích",2,""))))))</x:f>
      </x:c>
      <x:c r="J15" s="64"/>
      <x:c r="K15" s="64"/>
      <x:c r="L15" s="64"/>
      <x:c r="M15" s="64" t="str">
        <x:f>IF(OR(I15="",K15="",L15=""),"",I15*IF(K15="0 - Chưa từng",0,IF(K15="1 - Ít trải nghiệm",1/3,IF(K15="2 - Có trải nghiệm",2/3,1)))*(L15/5))</x:f>
      </x:c>
      <x:c r="N15" s="131"/>
    </x:row>
    <x:row r="16">
      <x:c r="A16" s="117"/>
      <x:c r="B16" s="118"/>
      <x:c r="C16" s="64"/>
      <x:c r="D16" s="64"/>
      <x:c r="E16" s="64"/>
      <x:c r="F16" s="64" t="str">
        <x:f>IFERROR(VLOOKUP(E16,'Hành động chung'!$A$2:$D$98,2,FALSE),"")</x:f>
      </x:c>
      <x:c r="G16" s="64" t="str">
        <x:f>IFERROR(VLOOKUP(E16,'Hành động chung'!$A$2:$D$98,3,FALSE),"")</x:f>
      </x:c>
      <x:c r="H16" s="64"/>
      <x:c r="I16" s="118" t="str">
        <x:f>IF(H16="","",IF(H16="Rất không thích",-2,IF(H16="Không thích",-1,IF(H16="Bình thường",0,IF(H16="Thích",1,IF(H16="Rất thích",2,""))))))</x:f>
      </x:c>
      <x:c r="J16" s="64"/>
      <x:c r="K16" s="64"/>
      <x:c r="L16" s="64"/>
      <x:c r="M16" s="64" t="str">
        <x:f>IF(OR(I16="",K16="",L16=""),"",I16*IF(K16="0 - Chưa từng",0,IF(K16="1 - Ít trải nghiệm",1/3,IF(K16="2 - Có trải nghiệm",2/3,1)))*(L16/5))</x:f>
      </x:c>
      <x:c r="N16" s="131"/>
    </x:row>
    <x:row r="17">
      <x:c r="A17" s="117"/>
      <x:c r="B17" s="118"/>
      <x:c r="C17" s="64"/>
      <x:c r="D17" s="64"/>
      <x:c r="E17" s="64"/>
      <x:c r="F17" s="64" t="str">
        <x:f>IFERROR(VLOOKUP(E17,'Hành động chung'!$A$2:$D$98,2,FALSE),"")</x:f>
      </x:c>
      <x:c r="G17" s="64" t="str">
        <x:f>IFERROR(VLOOKUP(E17,'Hành động chung'!$A$2:$D$98,3,FALSE),"")</x:f>
      </x:c>
      <x:c r="H17" s="64"/>
      <x:c r="I17" s="118" t="str">
        <x:f>IF(H17="","",IF(H17="Rất không thích",-2,IF(H17="Không thích",-1,IF(H17="Bình thường",0,IF(H17="Thích",1,IF(H17="Rất thích",2,""))))))</x:f>
      </x:c>
      <x:c r="J17" s="64"/>
      <x:c r="K17" s="64"/>
      <x:c r="L17" s="64"/>
      <x:c r="M17" s="64" t="str">
        <x:f>IF(OR(I17="",K17="",L17=""),"",I17*IF(K17="0 - Chưa từng",0,IF(K17="1 - Ít trải nghiệm",1/3,IF(K17="2 - Có trải nghiệm",2/3,1)))*(L17/5))</x:f>
      </x:c>
      <x:c r="N17" s="131"/>
    </x:row>
    <x:row r="18">
      <x:c r="A18" s="117"/>
      <x:c r="B18" s="118"/>
      <x:c r="C18" s="64"/>
      <x:c r="D18" s="64"/>
      <x:c r="E18" s="64"/>
      <x:c r="F18" s="64" t="str">
        <x:f>IFERROR(VLOOKUP(E18,'Hành động chung'!$A$2:$D$98,2,FALSE),"")</x:f>
      </x:c>
      <x:c r="G18" s="64" t="str">
        <x:f>IFERROR(VLOOKUP(E18,'Hành động chung'!$A$2:$D$98,3,FALSE),"")</x:f>
      </x:c>
      <x:c r="H18" s="64"/>
      <x:c r="I18" s="118" t="str">
        <x:f>IF(H18="","",IF(H18="Rất không thích",-2,IF(H18="Không thích",-1,IF(H18="Bình thường",0,IF(H18="Thích",1,IF(H18="Rất thích",2,""))))))</x:f>
      </x:c>
      <x:c r="J18" s="64"/>
      <x:c r="K18" s="64"/>
      <x:c r="L18" s="64"/>
      <x:c r="M18" s="64" t="str">
        <x:f>IF(OR(I18="",K18="",L18=""),"",I18*IF(K18="0 - Chưa từng",0,IF(K18="1 - Ít trải nghiệm",1/3,IF(K18="2 - Có trải nghiệm",2/3,1)))*(L18/5))</x:f>
      </x:c>
      <x:c r="N18" s="131"/>
    </x:row>
    <x:row r="19">
      <x:c r="A19" s="117"/>
      <x:c r="B19" s="118"/>
      <x:c r="C19" s="64"/>
      <x:c r="D19" s="64"/>
      <x:c r="E19" s="64"/>
      <x:c r="F19" s="64" t="str">
        <x:f>IFERROR(VLOOKUP(E19,'Hành động chung'!$A$2:$D$98,2,FALSE),"")</x:f>
      </x:c>
      <x:c r="G19" s="64" t="str">
        <x:f>IFERROR(VLOOKUP(E19,'Hành động chung'!$A$2:$D$98,3,FALSE),"")</x:f>
      </x:c>
      <x:c r="H19" s="64"/>
      <x:c r="I19" s="118" t="str">
        <x:f>IF(H19="","",IF(H19="Rất không thích",-2,IF(H19="Không thích",-1,IF(H19="Bình thường",0,IF(H19="Thích",1,IF(H19="Rất thích",2,""))))))</x:f>
      </x:c>
      <x:c r="J19" s="64"/>
      <x:c r="K19" s="64"/>
      <x:c r="L19" s="64"/>
      <x:c r="M19" s="64" t="str">
        <x:f>IF(OR(I19="",K19="",L19=""),"",I19*IF(K19="0 - Chưa từng",0,IF(K19="1 - Ít trải nghiệm",1/3,IF(K19="2 - Có trải nghiệm",2/3,1)))*(L19/5))</x:f>
      </x:c>
      <x:c r="N19" s="131"/>
    </x:row>
    <x:row r="20">
      <x:c r="A20" s="117"/>
      <x:c r="B20" s="118"/>
      <x:c r="C20" s="64"/>
      <x:c r="D20" s="64"/>
      <x:c r="E20" s="64"/>
      <x:c r="F20" s="64" t="str">
        <x:f>IFERROR(VLOOKUP(E20,'Hành động chung'!$A$2:$D$98,2,FALSE),"")</x:f>
      </x:c>
      <x:c r="G20" s="64" t="str">
        <x:f>IFERROR(VLOOKUP(E20,'Hành động chung'!$A$2:$D$98,3,FALSE),"")</x:f>
      </x:c>
      <x:c r="H20" s="64"/>
      <x:c r="I20" s="118" t="str">
        <x:f>IF(H20="","",IF(H20="Rất không thích",-2,IF(H20="Không thích",-1,IF(H20="Bình thường",0,IF(H20="Thích",1,IF(H20="Rất thích",2,""))))))</x:f>
      </x:c>
      <x:c r="J20" s="64"/>
      <x:c r="K20" s="64"/>
      <x:c r="L20" s="64"/>
      <x:c r="M20" s="64" t="str">
        <x:f>IF(OR(I20="",K20="",L20=""),"",I20*IF(K20="0 - Chưa từng",0,IF(K20="1 - Ít trải nghiệm",1/3,IF(K20="2 - Có trải nghiệm",2/3,1)))*(L20/5))</x:f>
      </x:c>
      <x:c r="N20" s="131"/>
    </x:row>
    <x:row r="21">
      <x:c r="A21" s="117"/>
      <x:c r="B21" s="118"/>
      <x:c r="C21" s="64"/>
      <x:c r="D21" s="64"/>
      <x:c r="E21" s="64"/>
      <x:c r="F21" s="64" t="str">
        <x:f>IFERROR(VLOOKUP(E21,'Hành động chung'!$A$2:$D$98,2,FALSE),"")</x:f>
      </x:c>
      <x:c r="G21" s="64" t="str">
        <x:f>IFERROR(VLOOKUP(E21,'Hành động chung'!$A$2:$D$98,3,FALSE),"")</x:f>
      </x:c>
      <x:c r="H21" s="64"/>
      <x:c r="I21" s="118" t="str">
        <x:f>IF(H21="","",IF(H21="Rất không thích",-2,IF(H21="Không thích",-1,IF(H21="Bình thường",0,IF(H21="Thích",1,IF(H21="Rất thích",2,""))))))</x:f>
      </x:c>
      <x:c r="J21" s="64"/>
      <x:c r="K21" s="64"/>
      <x:c r="L21" s="64"/>
      <x:c r="M21" s="64" t="str">
        <x:f>IF(OR(I21="",K21="",L21=""),"",I21*IF(K21="0 - Chưa từng",0,IF(K21="1 - Ít trải nghiệm",1/3,IF(K21="2 - Có trải nghiệm",2/3,1)))*(L21/5))</x:f>
      </x:c>
      <x:c r="N21" s="131"/>
    </x:row>
    <x:row r="22">
      <x:c r="A22" s="117"/>
      <x:c r="B22" s="118"/>
      <x:c r="C22" s="64"/>
      <x:c r="D22" s="64"/>
      <x:c r="E22" s="64"/>
      <x:c r="F22" s="64" t="str">
        <x:f>IFERROR(VLOOKUP(E22,'Hành động chung'!$A$2:$D$98,2,FALSE),"")</x:f>
      </x:c>
      <x:c r="G22" s="64" t="str">
        <x:f>IFERROR(VLOOKUP(E22,'Hành động chung'!$A$2:$D$98,3,FALSE),"")</x:f>
      </x:c>
      <x:c r="H22" s="64"/>
      <x:c r="I22" s="118" t="str">
        <x:f>IF(H22="","",IF(H22="Rất không thích",-2,IF(H22="Không thích",-1,IF(H22="Bình thường",0,IF(H22="Thích",1,IF(H22="Rất thích",2,""))))))</x:f>
      </x:c>
      <x:c r="J22" s="64"/>
      <x:c r="K22" s="64"/>
      <x:c r="L22" s="64"/>
      <x:c r="M22" s="64" t="str">
        <x:f>IF(OR(I22="",K22="",L22=""),"",I22*IF(K22="0 - Chưa từng",0,IF(K22="1 - Ít trải nghiệm",1/3,IF(K22="2 - Có trải nghiệm",2/3,1)))*(L22/5))</x:f>
      </x:c>
      <x:c r="N22" s="131"/>
    </x:row>
    <x:row r="23">
      <x:c r="A23" s="117"/>
      <x:c r="B23" s="118"/>
      <x:c r="C23" s="64"/>
      <x:c r="D23" s="64"/>
      <x:c r="E23" s="64"/>
      <x:c r="F23" s="64" t="str">
        <x:f>IFERROR(VLOOKUP(E23,'Hành động chung'!$A$2:$D$98,2,FALSE),"")</x:f>
      </x:c>
      <x:c r="G23" s="64" t="str">
        <x:f>IFERROR(VLOOKUP(E23,'Hành động chung'!$A$2:$D$98,3,FALSE),"")</x:f>
      </x:c>
      <x:c r="H23" s="64"/>
      <x:c r="I23" s="118" t="str">
        <x:f>IF(H23="","",IF(H23="Rất không thích",-2,IF(H23="Không thích",-1,IF(H23="Bình thường",0,IF(H23="Thích",1,IF(H23="Rất thích",2,""))))))</x:f>
      </x:c>
      <x:c r="J23" s="64"/>
      <x:c r="K23" s="64"/>
      <x:c r="L23" s="64"/>
      <x:c r="M23" s="64" t="str">
        <x:f>IF(OR(I23="",K23="",L23=""),"",I23*IF(K23="0 - Chưa từng",0,IF(K23="1 - Ít trải nghiệm",1/3,IF(K23="2 - Có trải nghiệm",2/3,1)))*(L23/5))</x:f>
      </x:c>
      <x:c r="N23" s="131"/>
    </x:row>
    <x:row r="24">
      <x:c r="A24" s="117"/>
      <x:c r="B24" s="118"/>
      <x:c r="C24" s="64"/>
      <x:c r="D24" s="64"/>
      <x:c r="E24" s="64"/>
      <x:c r="F24" s="64" t="str">
        <x:f>IFERROR(VLOOKUP(E24,'Hành động chung'!$A$2:$D$98,2,FALSE),"")</x:f>
      </x:c>
      <x:c r="G24" s="64" t="str">
        <x:f>IFERROR(VLOOKUP(E24,'Hành động chung'!$A$2:$D$98,3,FALSE),"")</x:f>
      </x:c>
      <x:c r="H24" s="64"/>
      <x:c r="I24" s="118" t="str">
        <x:f>IF(H24="","",IF(H24="Rất không thích",-2,IF(H24="Không thích",-1,IF(H24="Bình thường",0,IF(H24="Thích",1,IF(H24="Rất thích",2,""))))))</x:f>
      </x:c>
      <x:c r="J24" s="64"/>
      <x:c r="K24" s="64"/>
      <x:c r="L24" s="64"/>
      <x:c r="M24" s="64" t="str">
        <x:f>IF(OR(I24="",K24="",L24=""),"",I24*IF(K24="0 - Chưa từng",0,IF(K24="1 - Ít trải nghiệm",1/3,IF(K24="2 - Có trải nghiệm",2/3,1)))*(L24/5))</x:f>
      </x:c>
      <x:c r="N24" s="131"/>
    </x:row>
    <x:row r="25">
      <x:c r="A25" s="117"/>
      <x:c r="B25" s="118"/>
      <x:c r="C25" s="64"/>
      <x:c r="D25" s="64"/>
      <x:c r="E25" s="64"/>
      <x:c r="F25" s="64" t="str">
        <x:f>IFERROR(VLOOKUP(E25,'Hành động chung'!$A$2:$D$98,2,FALSE),"")</x:f>
      </x:c>
      <x:c r="G25" s="64" t="str">
        <x:f>IFERROR(VLOOKUP(E25,'Hành động chung'!$A$2:$D$98,3,FALSE),"")</x:f>
      </x:c>
      <x:c r="H25" s="64"/>
      <x:c r="I25" s="118" t="str">
        <x:f>IF(H25="","",IF(H25="Rất không thích",-2,IF(H25="Không thích",-1,IF(H25="Bình thường",0,IF(H25="Thích",1,IF(H25="Rất thích",2,""))))))</x:f>
      </x:c>
      <x:c r="J25" s="64"/>
      <x:c r="K25" s="64"/>
      <x:c r="L25" s="64"/>
      <x:c r="M25" s="64" t="str">
        <x:f>IF(OR(I25="",K25="",L25=""),"",I25*IF(K25="0 - Chưa từng",0,IF(K25="1 - Ít trải nghiệm",1/3,IF(K25="2 - Có trải nghiệm",2/3,1)))*(L25/5))</x:f>
      </x:c>
      <x:c r="N25" s="131"/>
    </x:row>
    <x:row r="26">
      <x:c r="A26" s="117"/>
      <x:c r="B26" s="118"/>
      <x:c r="C26" s="64"/>
      <x:c r="D26" s="64"/>
      <x:c r="E26" s="64"/>
      <x:c r="F26" s="64" t="str">
        <x:f>IFERROR(VLOOKUP(E26,'Hành động chung'!$A$2:$D$98,2,FALSE),"")</x:f>
      </x:c>
      <x:c r="G26" s="64" t="str">
        <x:f>IFERROR(VLOOKUP(E26,'Hành động chung'!$A$2:$D$98,3,FALSE),"")</x:f>
      </x:c>
      <x:c r="H26" s="64"/>
      <x:c r="I26" s="118" t="str">
        <x:f>IF(H26="","",IF(H26="Rất không thích",-2,IF(H26="Không thích",-1,IF(H26="Bình thường",0,IF(H26="Thích",1,IF(H26="Rất thích",2,""))))))</x:f>
      </x:c>
      <x:c r="J26" s="64"/>
      <x:c r="K26" s="64"/>
      <x:c r="L26" s="64"/>
      <x:c r="M26" s="64" t="str">
        <x:f>IF(OR(I26="",K26="",L26=""),"",I26*IF(K26="0 - Chưa từng",0,IF(K26="1 - Ít trải nghiệm",1/3,IF(K26="2 - Có trải nghiệm",2/3,1)))*(L26/5))</x:f>
      </x:c>
      <x:c r="N26" s="131"/>
    </x:row>
    <x:row r="27">
      <x:c r="A27" s="117"/>
      <x:c r="B27" s="118"/>
      <x:c r="C27" s="64"/>
      <x:c r="D27" s="64"/>
      <x:c r="E27" s="64"/>
      <x:c r="F27" s="64" t="str">
        <x:f>IFERROR(VLOOKUP(E27,'Hành động chung'!$A$2:$D$98,2,FALSE),"")</x:f>
      </x:c>
      <x:c r="G27" s="64" t="str">
        <x:f>IFERROR(VLOOKUP(E27,'Hành động chung'!$A$2:$D$98,3,FALSE),"")</x:f>
      </x:c>
      <x:c r="H27" s="64"/>
      <x:c r="I27" s="118" t="str">
        <x:f>IF(H27="","",IF(H27="Rất không thích",-2,IF(H27="Không thích",-1,IF(H27="Bình thường",0,IF(H27="Thích",1,IF(H27="Rất thích",2,""))))))</x:f>
      </x:c>
      <x:c r="J27" s="64"/>
      <x:c r="K27" s="64"/>
      <x:c r="L27" s="64"/>
      <x:c r="M27" s="64" t="str">
        <x:f>IF(OR(I27="",K27="",L27=""),"",I27*IF(K27="0 - Chưa từng",0,IF(K27="1 - Ít trải nghiệm",1/3,IF(K27="2 - Có trải nghiệm",2/3,1)))*(L27/5))</x:f>
      </x:c>
      <x:c r="N27" s="131"/>
    </x:row>
    <x:row r="28">
      <x:c r="A28" s="117"/>
      <x:c r="B28" s="118"/>
      <x:c r="C28" s="64"/>
      <x:c r="D28" s="64"/>
      <x:c r="E28" s="64"/>
      <x:c r="F28" s="64" t="str">
        <x:f>IFERROR(VLOOKUP(E28,'Hành động chung'!$A$2:$D$98,2,FALSE),"")</x:f>
      </x:c>
      <x:c r="G28" s="64" t="str">
        <x:f>IFERROR(VLOOKUP(E28,'Hành động chung'!$A$2:$D$98,3,FALSE),"")</x:f>
      </x:c>
      <x:c r="H28" s="64"/>
      <x:c r="I28" s="118" t="str">
        <x:f>IF(H28="","",IF(H28="Rất không thích",-2,IF(H28="Không thích",-1,IF(H28="Bình thường",0,IF(H28="Thích",1,IF(H28="Rất thích",2,""))))))</x:f>
      </x:c>
      <x:c r="J28" s="64"/>
      <x:c r="K28" s="64"/>
      <x:c r="L28" s="64"/>
      <x:c r="M28" s="64" t="str">
        <x:f>IF(OR(I28="",K28="",L28=""),"",I28*IF(K28="0 - Chưa từng",0,IF(K28="1 - Ít trải nghiệm",1/3,IF(K28="2 - Có trải nghiệm",2/3,1)))*(L28/5))</x:f>
      </x:c>
      <x:c r="N28" s="131"/>
    </x:row>
    <x:row r="29">
      <x:c r="A29" s="117"/>
      <x:c r="B29" s="118"/>
      <x:c r="C29" s="64"/>
      <x:c r="D29" s="64"/>
      <x:c r="E29" s="64"/>
      <x:c r="F29" s="64" t="str">
        <x:f>IFERROR(VLOOKUP(E29,'Hành động chung'!$A$2:$D$98,2,FALSE),"")</x:f>
      </x:c>
      <x:c r="G29" s="64" t="str">
        <x:f>IFERROR(VLOOKUP(E29,'Hành động chung'!$A$2:$D$98,3,FALSE),"")</x:f>
      </x:c>
      <x:c r="H29" s="64"/>
      <x:c r="I29" s="118" t="str">
        <x:f>IF(H29="","",IF(H29="Rất không thích",-2,IF(H29="Không thích",-1,IF(H29="Bình thường",0,IF(H29="Thích",1,IF(H29="Rất thích",2,""))))))</x:f>
      </x:c>
      <x:c r="J29" s="64"/>
      <x:c r="K29" s="64"/>
      <x:c r="L29" s="64"/>
      <x:c r="M29" s="64" t="str">
        <x:f>IF(OR(I29="",K29="",L29=""),"",I29*IF(K29="0 - Chưa từng",0,IF(K29="1 - Ít trải nghiệm",1/3,IF(K29="2 - Có trải nghiệm",2/3,1)))*(L29/5))</x:f>
      </x:c>
      <x:c r="N29" s="131"/>
    </x:row>
    <x:row r="30">
      <x:c r="A30" s="117"/>
      <x:c r="B30" s="118"/>
      <x:c r="C30" s="64"/>
      <x:c r="D30" s="64"/>
      <x:c r="E30" s="64"/>
      <x:c r="F30" s="64" t="str">
        <x:f>IFERROR(VLOOKUP(E30,'Hành động chung'!$A$2:$D$98,2,FALSE),"")</x:f>
      </x:c>
      <x:c r="G30" s="64" t="str">
        <x:f>IFERROR(VLOOKUP(E30,'Hành động chung'!$A$2:$D$98,3,FALSE),"")</x:f>
      </x:c>
      <x:c r="H30" s="64"/>
      <x:c r="I30" s="118" t="str">
        <x:f>IF(H30="","",IF(H30="Rất không thích",-2,IF(H30="Không thích",-1,IF(H30="Bình thường",0,IF(H30="Thích",1,IF(H30="Rất thích",2,""))))))</x:f>
      </x:c>
      <x:c r="J30" s="64"/>
      <x:c r="K30" s="64"/>
      <x:c r="L30" s="64"/>
      <x:c r="M30" s="64" t="str">
        <x:f>IF(OR(I30="",K30="",L30=""),"",I30*IF(K30="0 - Chưa từng",0,IF(K30="1 - Ít trải nghiệm",1/3,IF(K30="2 - Có trải nghiệm",2/3,1)))*(L30/5))</x:f>
      </x:c>
      <x:c r="N30" s="131"/>
    </x:row>
    <x:row r="31">
      <x:c r="A31" s="117"/>
      <x:c r="B31" s="118"/>
      <x:c r="C31" s="64"/>
      <x:c r="D31" s="64"/>
      <x:c r="E31" s="64"/>
      <x:c r="F31" s="64" t="str">
        <x:f>IFERROR(VLOOKUP(E31,'Hành động chung'!$A$2:$D$98,2,FALSE),"")</x:f>
      </x:c>
      <x:c r="G31" s="64" t="str">
        <x:f>IFERROR(VLOOKUP(E31,'Hành động chung'!$A$2:$D$98,3,FALSE),"")</x:f>
      </x:c>
      <x:c r="H31" s="64"/>
      <x:c r="I31" s="118" t="str">
        <x:f>IF(H31="","",IF(H31="Rất không thích",-2,IF(H31="Không thích",-1,IF(H31="Bình thường",0,IF(H31="Thích",1,IF(H31="Rất thích",2,""))))))</x:f>
      </x:c>
      <x:c r="J31" s="64"/>
      <x:c r="K31" s="64"/>
      <x:c r="L31" s="64"/>
      <x:c r="M31" s="64" t="str">
        <x:f>IF(OR(I31="",K31="",L31=""),"",I31*IF(K31="0 - Chưa từng",0,IF(K31="1 - Ít trải nghiệm",1/3,IF(K31="2 - Có trải nghiệm",2/3,1)))*(L31/5))</x:f>
      </x:c>
      <x:c r="N31" s="131"/>
    </x:row>
    <x:row r="32">
      <x:c r="A32" s="117"/>
      <x:c r="B32" s="118"/>
      <x:c r="C32" s="64"/>
      <x:c r="D32" s="64"/>
      <x:c r="E32" s="64"/>
      <x:c r="F32" s="64" t="str">
        <x:f>IFERROR(VLOOKUP(E32,'Hành động chung'!$A$2:$D$98,2,FALSE),"")</x:f>
      </x:c>
      <x:c r="G32" s="64" t="str">
        <x:f>IFERROR(VLOOKUP(E32,'Hành động chung'!$A$2:$D$98,3,FALSE),"")</x:f>
      </x:c>
      <x:c r="H32" s="64"/>
      <x:c r="I32" s="118" t="str">
        <x:f>IF(H32="","",IF(H32="Rất không thích",-2,IF(H32="Không thích",-1,IF(H32="Bình thường",0,IF(H32="Thích",1,IF(H32="Rất thích",2,""))))))</x:f>
      </x:c>
      <x:c r="J32" s="64"/>
      <x:c r="K32" s="64"/>
      <x:c r="L32" s="64"/>
      <x:c r="M32" s="64" t="str">
        <x:f>IF(OR(I32="",K32="",L32=""),"",I32*IF(K32="0 - Chưa từng",0,IF(K32="1 - Ít trải nghiệm",1/3,IF(K32="2 - Có trải nghiệm",2/3,1)))*(L32/5))</x:f>
      </x:c>
      <x:c r="N32" s="131"/>
    </x:row>
    <x:row r="33">
      <x:c r="A33" s="117"/>
      <x:c r="B33" s="118"/>
      <x:c r="C33" s="64"/>
      <x:c r="D33" s="64"/>
      <x:c r="E33" s="64"/>
      <x:c r="F33" s="64" t="str">
        <x:f>IFERROR(VLOOKUP(E33,'Hành động chung'!$A$2:$D$98,2,FALSE),"")</x:f>
      </x:c>
      <x:c r="G33" s="64" t="str">
        <x:f>IFERROR(VLOOKUP(E33,'Hành động chung'!$A$2:$D$98,3,FALSE),"")</x:f>
      </x:c>
      <x:c r="H33" s="64"/>
      <x:c r="I33" s="118" t="str">
        <x:f>IF(H33="","",IF(H33="Rất không thích",-2,IF(H33="Không thích",-1,IF(H33="Bình thường",0,IF(H33="Thích",1,IF(H33="Rất thích",2,""))))))</x:f>
      </x:c>
      <x:c r="J33" s="64"/>
      <x:c r="K33" s="64"/>
      <x:c r="L33" s="64"/>
      <x:c r="M33" s="64" t="str">
        <x:f>IF(OR(I33="",K33="",L33=""),"",I33*IF(K33="0 - Chưa từng",0,IF(K33="1 - Ít trải nghiệm",1/3,IF(K33="2 - Có trải nghiệm",2/3,1)))*(L33/5))</x:f>
      </x:c>
      <x:c r="N33" s="131"/>
    </x:row>
    <x:row r="34">
      <x:c r="A34" s="117"/>
      <x:c r="B34" s="118"/>
      <x:c r="C34" s="64"/>
      <x:c r="D34" s="64"/>
      <x:c r="E34" s="64"/>
      <x:c r="F34" s="64" t="str">
        <x:f>IFERROR(VLOOKUP(E34,'Hành động chung'!$A$2:$D$98,2,FALSE),"")</x:f>
      </x:c>
      <x:c r="G34" s="64" t="str">
        <x:f>IFERROR(VLOOKUP(E34,'Hành động chung'!$A$2:$D$98,3,FALSE),"")</x:f>
      </x:c>
      <x:c r="H34" s="64"/>
      <x:c r="I34" s="118" t="str">
        <x:f>IF(H34="","",IF(H34="Rất không thích",-2,IF(H34="Không thích",-1,IF(H34="Bình thường",0,IF(H34="Thích",1,IF(H34="Rất thích",2,""))))))</x:f>
      </x:c>
      <x:c r="J34" s="64"/>
      <x:c r="K34" s="64"/>
      <x:c r="L34" s="64"/>
      <x:c r="M34" s="64" t="str">
        <x:f>IF(OR(I34="",K34="",L34=""),"",I34*IF(K34="0 - Chưa từng",0,IF(K34="1 - Ít trải nghiệm",1/3,IF(K34="2 - Có trải nghiệm",2/3,1)))*(L34/5))</x:f>
      </x:c>
      <x:c r="N34" s="131"/>
    </x:row>
    <x:row r="35">
      <x:c r="A35" s="117"/>
      <x:c r="B35" s="118"/>
      <x:c r="C35" s="64"/>
      <x:c r="D35" s="64"/>
      <x:c r="E35" s="64"/>
      <x:c r="F35" s="64" t="str">
        <x:f>IFERROR(VLOOKUP(E35,'Hành động chung'!$A$2:$D$98,2,FALSE),"")</x:f>
      </x:c>
      <x:c r="G35" s="64" t="str">
        <x:f>IFERROR(VLOOKUP(E35,'Hành động chung'!$A$2:$D$98,3,FALSE),"")</x:f>
      </x:c>
      <x:c r="H35" s="64"/>
      <x:c r="I35" s="118" t="str">
        <x:f>IF(H35="","",IF(H35="Rất không thích",-2,IF(H35="Không thích",-1,IF(H35="Bình thường",0,IF(H35="Thích",1,IF(H35="Rất thích",2,""))))))</x:f>
      </x:c>
      <x:c r="J35" s="64"/>
      <x:c r="K35" s="64"/>
      <x:c r="L35" s="64"/>
      <x:c r="M35" s="64" t="str">
        <x:f>IF(OR(I35="",K35="",L35=""),"",I35*IF(K35="0 - Chưa từng",0,IF(K35="1 - Ít trải nghiệm",1/3,IF(K35="2 - Có trải nghiệm",2/3,1)))*(L35/5))</x:f>
      </x:c>
      <x:c r="N35" s="131"/>
    </x:row>
    <x:row r="36">
      <x:c r="A36" s="117"/>
      <x:c r="B36" s="118"/>
      <x:c r="C36" s="64"/>
      <x:c r="D36" s="64"/>
      <x:c r="E36" s="64"/>
      <x:c r="F36" s="64" t="str">
        <x:f>IFERROR(VLOOKUP(E36,'Hành động chung'!$A$2:$D$98,2,FALSE),"")</x:f>
      </x:c>
      <x:c r="G36" s="64" t="str">
        <x:f>IFERROR(VLOOKUP(E36,'Hành động chung'!$A$2:$D$98,3,FALSE),"")</x:f>
      </x:c>
      <x:c r="H36" s="64"/>
      <x:c r="I36" s="118" t="str">
        <x:f>IF(H36="","",IF(H36="Rất không thích",-2,IF(H36="Không thích",-1,IF(H36="Bình thường",0,IF(H36="Thích",1,IF(H36="Rất thích",2,""))))))</x:f>
      </x:c>
      <x:c r="J36" s="64"/>
      <x:c r="K36" s="64"/>
      <x:c r="L36" s="64"/>
      <x:c r="M36" s="64" t="str">
        <x:f>IF(OR(I36="",K36="",L36=""),"",I36*IF(K36="0 - Chưa từng",0,IF(K36="1 - Ít trải nghiệm",1/3,IF(K36="2 - Có trải nghiệm",2/3,1)))*(L36/5))</x:f>
      </x:c>
      <x:c r="N36" s="131"/>
    </x:row>
    <x:row r="37">
      <x:c r="A37" s="117"/>
      <x:c r="B37" s="118"/>
      <x:c r="C37" s="64"/>
      <x:c r="D37" s="64"/>
      <x:c r="E37" s="64"/>
      <x:c r="F37" s="64" t="str">
        <x:f>IFERROR(VLOOKUP(E37,'Hành động chung'!$A$2:$D$98,2,FALSE),"")</x:f>
      </x:c>
      <x:c r="G37" s="64" t="str">
        <x:f>IFERROR(VLOOKUP(E37,'Hành động chung'!$A$2:$D$98,3,FALSE),"")</x:f>
      </x:c>
      <x:c r="H37" s="64"/>
      <x:c r="I37" s="118" t="str">
        <x:f>IF(H37="","",IF(H37="Rất không thích",-2,IF(H37="Không thích",-1,IF(H37="Bình thường",0,IF(H37="Thích",1,IF(H37="Rất thích",2,""))))))</x:f>
      </x:c>
      <x:c r="J37" s="64"/>
      <x:c r="K37" s="64"/>
      <x:c r="L37" s="64"/>
      <x:c r="M37" s="64" t="str">
        <x:f>IF(OR(I37="",K37="",L37=""),"",I37*IF(K37="0 - Chưa từng",0,IF(K37="1 - Ít trải nghiệm",1/3,IF(K37="2 - Có trải nghiệm",2/3,1)))*(L37/5))</x:f>
      </x:c>
      <x:c r="N37" s="131"/>
    </x:row>
    <x:row r="38">
      <x:c r="A38" s="117"/>
      <x:c r="B38" s="118"/>
      <x:c r="C38" s="64"/>
      <x:c r="D38" s="64"/>
      <x:c r="E38" s="64"/>
      <x:c r="F38" s="64" t="str">
        <x:f>IFERROR(VLOOKUP(E38,'Hành động chung'!$A$2:$D$98,2,FALSE),"")</x:f>
      </x:c>
      <x:c r="G38" s="64" t="str">
        <x:f>IFERROR(VLOOKUP(E38,'Hành động chung'!$A$2:$D$98,3,FALSE),"")</x:f>
      </x:c>
      <x:c r="H38" s="64"/>
      <x:c r="I38" s="118" t="str">
        <x:f>IF(H38="","",IF(H38="Rất không thích",-2,IF(H38="Không thích",-1,IF(H38="Bình thường",0,IF(H38="Thích",1,IF(H38="Rất thích",2,""))))))</x:f>
      </x:c>
      <x:c r="J38" s="64"/>
      <x:c r="K38" s="64"/>
      <x:c r="L38" s="64"/>
      <x:c r="M38" s="64" t="str">
        <x:f>IF(OR(I38="",K38="",L38=""),"",I38*IF(K38="0 - Chưa từng",0,IF(K38="1 - Ít trải nghiệm",1/3,IF(K38="2 - Có trải nghiệm",2/3,1)))*(L38/5))</x:f>
      </x:c>
      <x:c r="N38" s="131"/>
    </x:row>
    <x:row r="39">
      <x:c r="A39" s="117"/>
      <x:c r="B39" s="118"/>
      <x:c r="C39" s="64"/>
      <x:c r="D39" s="64"/>
      <x:c r="E39" s="64"/>
      <x:c r="F39" s="64" t="str">
        <x:f>IFERROR(VLOOKUP(E39,'Hành động chung'!$A$2:$D$98,2,FALSE),"")</x:f>
      </x:c>
      <x:c r="G39" s="64" t="str">
        <x:f>IFERROR(VLOOKUP(E39,'Hành động chung'!$A$2:$D$98,3,FALSE),"")</x:f>
      </x:c>
      <x:c r="H39" s="64"/>
      <x:c r="I39" s="118" t="str">
        <x:f>IF(H39="","",IF(H39="Rất không thích",-2,IF(H39="Không thích",-1,IF(H39="Bình thường",0,IF(H39="Thích",1,IF(H39="Rất thích",2,""))))))</x:f>
      </x:c>
      <x:c r="J39" s="64"/>
      <x:c r="K39" s="64"/>
      <x:c r="L39" s="64"/>
      <x:c r="M39" s="64" t="str">
        <x:f>IF(OR(I39="",K39="",L39=""),"",I39*IF(K39="0 - Chưa từng",0,IF(K39="1 - Ít trải nghiệm",1/3,IF(K39="2 - Có trải nghiệm",2/3,1)))*(L39/5))</x:f>
      </x:c>
      <x:c r="N39" s="131"/>
    </x:row>
    <x:row r="40">
      <x:c r="A40" s="117"/>
      <x:c r="B40" s="118"/>
      <x:c r="C40" s="64"/>
      <x:c r="D40" s="64"/>
      <x:c r="E40" s="64"/>
      <x:c r="F40" s="64" t="str">
        <x:f>IFERROR(VLOOKUP(E40,'Hành động chung'!$A$2:$D$98,2,FALSE),"")</x:f>
      </x:c>
      <x:c r="G40" s="64" t="str">
        <x:f>IFERROR(VLOOKUP(E40,'Hành động chung'!$A$2:$D$98,3,FALSE),"")</x:f>
      </x:c>
      <x:c r="H40" s="64"/>
      <x:c r="I40" s="118" t="str">
        <x:f>IF(H40="","",IF(H40="Rất không thích",-2,IF(H40="Không thích",-1,IF(H40="Bình thường",0,IF(H40="Thích",1,IF(H40="Rất thích",2,""))))))</x:f>
      </x:c>
      <x:c r="J40" s="64"/>
      <x:c r="K40" s="64"/>
      <x:c r="L40" s="64"/>
      <x:c r="M40" s="64" t="str">
        <x:f>IF(OR(I40="",K40="",L40=""),"",I40*IF(K40="0 - Chưa từng",0,IF(K40="1 - Ít trải nghiệm",1/3,IF(K40="2 - Có trải nghiệm",2/3,1)))*(L40/5))</x:f>
      </x:c>
      <x:c r="N40" s="131"/>
    </x:row>
    <x:row r="41">
      <x:c r="A41" s="117"/>
      <x:c r="B41" s="118"/>
      <x:c r="C41" s="64"/>
      <x:c r="D41" s="64"/>
      <x:c r="E41" s="64"/>
      <x:c r="F41" s="64" t="str">
        <x:f>IFERROR(VLOOKUP(E41,'Hành động chung'!$A$2:$D$98,2,FALSE),"")</x:f>
      </x:c>
      <x:c r="G41" s="64" t="str">
        <x:f>IFERROR(VLOOKUP(E41,'Hành động chung'!$A$2:$D$98,3,FALSE),"")</x:f>
      </x:c>
      <x:c r="H41" s="64"/>
      <x:c r="I41" s="118" t="str">
        <x:f>IF(H41="","",IF(H41="Rất không thích",-2,IF(H41="Không thích",-1,IF(H41="Bình thường",0,IF(H41="Thích",1,IF(H41="Rất thích",2,""))))))</x:f>
      </x:c>
      <x:c r="J41" s="64"/>
      <x:c r="K41" s="64"/>
      <x:c r="L41" s="64"/>
      <x:c r="M41" s="64" t="str">
        <x:f>IF(OR(I41="",K41="",L41=""),"",I41*IF(K41="0 - Chưa từng",0,IF(K41="1 - Ít trải nghiệm",1/3,IF(K41="2 - Có trải nghiệm",2/3,1)))*(L41/5))</x:f>
      </x:c>
      <x:c r="N41" s="131"/>
    </x:row>
    <x:row r="42">
      <x:c r="A42" s="117"/>
      <x:c r="B42" s="118"/>
      <x:c r="C42" s="64"/>
      <x:c r="D42" s="64"/>
      <x:c r="E42" s="64"/>
      <x:c r="F42" s="64" t="str">
        <x:f>IFERROR(VLOOKUP(E42,'Hành động chung'!$A$2:$D$98,2,FALSE),"")</x:f>
      </x:c>
      <x:c r="G42" s="64" t="str">
        <x:f>IFERROR(VLOOKUP(E42,'Hành động chung'!$A$2:$D$98,3,FALSE),"")</x:f>
      </x:c>
      <x:c r="H42" s="64"/>
      <x:c r="I42" s="118" t="str">
        <x:f>IF(H42="","",IF(H42="Rất không thích",-2,IF(H42="Không thích",-1,IF(H42="Bình thường",0,IF(H42="Thích",1,IF(H42="Rất thích",2,""))))))</x:f>
      </x:c>
      <x:c r="J42" s="64"/>
      <x:c r="K42" s="64"/>
      <x:c r="L42" s="64"/>
      <x:c r="M42" s="64" t="str">
        <x:f>IF(OR(I42="",K42="",L42=""),"",I42*IF(K42="0 - Chưa từng",0,IF(K42="1 - Ít trải nghiệm",1/3,IF(K42="2 - Có trải nghiệm",2/3,1)))*(L42/5))</x:f>
      </x:c>
      <x:c r="N42" s="131"/>
    </x:row>
    <x:row r="43">
      <x:c r="A43" s="117"/>
      <x:c r="B43" s="118"/>
      <x:c r="C43" s="64"/>
      <x:c r="D43" s="64"/>
      <x:c r="E43" s="64"/>
      <x:c r="F43" s="64" t="str">
        <x:f>IFERROR(VLOOKUP(E43,'Hành động chung'!$A$2:$D$98,2,FALSE),"")</x:f>
      </x:c>
      <x:c r="G43" s="64" t="str">
        <x:f>IFERROR(VLOOKUP(E43,'Hành động chung'!$A$2:$D$98,3,FALSE),"")</x:f>
      </x:c>
      <x:c r="H43" s="64"/>
      <x:c r="I43" s="118" t="str">
        <x:f>IF(H43="","",IF(H43="Rất không thích",-2,IF(H43="Không thích",-1,IF(H43="Bình thường",0,IF(H43="Thích",1,IF(H43="Rất thích",2,""))))))</x:f>
      </x:c>
      <x:c r="J43" s="64"/>
      <x:c r="K43" s="64"/>
      <x:c r="L43" s="64"/>
      <x:c r="M43" s="64" t="str">
        <x:f>IF(OR(I43="",K43="",L43=""),"",I43*IF(K43="0 - Chưa từng",0,IF(K43="1 - Ít trải nghiệm",1/3,IF(K43="2 - Có trải nghiệm",2/3,1)))*(L43/5))</x:f>
      </x:c>
      <x:c r="N43" s="131"/>
    </x:row>
    <x:row r="44">
      <x:c r="A44" s="117"/>
      <x:c r="B44" s="118"/>
      <x:c r="C44" s="64"/>
      <x:c r="D44" s="64"/>
      <x:c r="E44" s="64"/>
      <x:c r="F44" s="64" t="str">
        <x:f>IFERROR(VLOOKUP(E44,'Hành động chung'!$A$2:$D$98,2,FALSE),"")</x:f>
      </x:c>
      <x:c r="G44" s="64" t="str">
        <x:f>IFERROR(VLOOKUP(E44,'Hành động chung'!$A$2:$D$98,3,FALSE),"")</x:f>
      </x:c>
      <x:c r="H44" s="64"/>
      <x:c r="I44" s="118" t="str">
        <x:f>IF(H44="","",IF(H44="Rất không thích",-2,IF(H44="Không thích",-1,IF(H44="Bình thường",0,IF(H44="Thích",1,IF(H44="Rất thích",2,""))))))</x:f>
      </x:c>
      <x:c r="J44" s="64"/>
      <x:c r="K44" s="64"/>
      <x:c r="L44" s="64"/>
      <x:c r="M44" s="64" t="str">
        <x:f>IF(OR(I44="",K44="",L44=""),"",I44*IF(K44="0 - Chưa từng",0,IF(K44="1 - Ít trải nghiệm",1/3,IF(K44="2 - Có trải nghiệm",2/3,1)))*(L44/5))</x:f>
      </x:c>
      <x:c r="N44" s="131"/>
    </x:row>
    <x:row r="45">
      <x:c r="A45" s="117"/>
      <x:c r="B45" s="118"/>
      <x:c r="C45" s="64"/>
      <x:c r="D45" s="64"/>
      <x:c r="E45" s="64"/>
      <x:c r="F45" s="64" t="str">
        <x:f>IFERROR(VLOOKUP(E45,'Hành động chung'!$A$2:$D$98,2,FALSE),"")</x:f>
      </x:c>
      <x:c r="G45" s="64" t="str">
        <x:f>IFERROR(VLOOKUP(E45,'Hành động chung'!$A$2:$D$98,3,FALSE),"")</x:f>
      </x:c>
      <x:c r="H45" s="64"/>
      <x:c r="I45" s="118" t="str">
        <x:f>IF(H45="","",IF(H45="Rất không thích",-2,IF(H45="Không thích",-1,IF(H45="Bình thường",0,IF(H45="Thích",1,IF(H45="Rất thích",2,""))))))</x:f>
      </x:c>
      <x:c r="J45" s="64"/>
      <x:c r="K45" s="64"/>
      <x:c r="L45" s="64"/>
      <x:c r="M45" s="64" t="str">
        <x:f>IF(OR(I45="",K45="",L45=""),"",I45*IF(K45="0 - Chưa từng",0,IF(K45="1 - Ít trải nghiệm",1/3,IF(K45="2 - Có trải nghiệm",2/3,1)))*(L45/5))</x:f>
      </x:c>
      <x:c r="N45" s="131"/>
    </x:row>
    <x:row r="46">
      <x:c r="A46" s="117"/>
      <x:c r="B46" s="118"/>
      <x:c r="C46" s="64"/>
      <x:c r="D46" s="64"/>
      <x:c r="E46" s="64"/>
      <x:c r="F46" s="64" t="str">
        <x:f>IFERROR(VLOOKUP(E46,'Hành động chung'!$A$2:$D$98,2,FALSE),"")</x:f>
      </x:c>
      <x:c r="G46" s="64" t="str">
        <x:f>IFERROR(VLOOKUP(E46,'Hành động chung'!$A$2:$D$98,3,FALSE),"")</x:f>
      </x:c>
      <x:c r="H46" s="64"/>
      <x:c r="I46" s="118" t="str">
        <x:f>IF(H46="","",IF(H46="Rất không thích",-2,IF(H46="Không thích",-1,IF(H46="Bình thường",0,IF(H46="Thích",1,IF(H46="Rất thích",2,""))))))</x:f>
      </x:c>
      <x:c r="J46" s="64"/>
      <x:c r="K46" s="64"/>
      <x:c r="L46" s="64"/>
      <x:c r="M46" s="64" t="str">
        <x:f>IF(OR(I46="",K46="",L46=""),"",I46*IF(K46="0 - Chưa từng",0,IF(K46="1 - Ít trải nghiệm",1/3,IF(K46="2 - Có trải nghiệm",2/3,1)))*(L46/5))</x:f>
      </x:c>
      <x:c r="N46" s="131"/>
    </x:row>
    <x:row r="47">
      <x:c r="A47" s="117"/>
      <x:c r="B47" s="118"/>
      <x:c r="C47" s="64"/>
      <x:c r="D47" s="64"/>
      <x:c r="E47" s="64"/>
      <x:c r="F47" s="64" t="str">
        <x:f>IFERROR(VLOOKUP(E47,'Hành động chung'!$A$2:$D$98,2,FALSE),"")</x:f>
      </x:c>
      <x:c r="G47" s="64" t="str">
        <x:f>IFERROR(VLOOKUP(E47,'Hành động chung'!$A$2:$D$98,3,FALSE),"")</x:f>
      </x:c>
      <x:c r="H47" s="64"/>
      <x:c r="I47" s="118" t="str">
        <x:f>IF(H47="","",IF(H47="Rất không thích",-2,IF(H47="Không thích",-1,IF(H47="Bình thường",0,IF(H47="Thích",1,IF(H47="Rất thích",2,""))))))</x:f>
      </x:c>
      <x:c r="J47" s="64"/>
      <x:c r="K47" s="64"/>
      <x:c r="L47" s="64"/>
      <x:c r="M47" s="64" t="str">
        <x:f>IF(OR(I47="",K47="",L47=""),"",I47*IF(K47="0 - Chưa từng",0,IF(K47="1 - Ít trải nghiệm",1/3,IF(K47="2 - Có trải nghiệm",2/3,1)))*(L47/5))</x:f>
      </x:c>
      <x:c r="N47" s="131"/>
    </x:row>
    <x:row r="48">
      <x:c r="A48" s="117"/>
      <x:c r="B48" s="118"/>
      <x:c r="C48" s="64"/>
      <x:c r="D48" s="64"/>
      <x:c r="E48" s="64"/>
      <x:c r="F48" s="64" t="str">
        <x:f>IFERROR(VLOOKUP(E48,'Hành động chung'!$A$2:$D$98,2,FALSE),"")</x:f>
      </x:c>
      <x:c r="G48" s="64" t="str">
        <x:f>IFERROR(VLOOKUP(E48,'Hành động chung'!$A$2:$D$98,3,FALSE),"")</x:f>
      </x:c>
      <x:c r="H48" s="64"/>
      <x:c r="I48" s="118" t="str">
        <x:f>IF(H48="","",IF(H48="Rất không thích",-2,IF(H48="Không thích",-1,IF(H48="Bình thường",0,IF(H48="Thích",1,IF(H48="Rất thích",2,""))))))</x:f>
      </x:c>
      <x:c r="J48" s="64"/>
      <x:c r="K48" s="64"/>
      <x:c r="L48" s="64"/>
      <x:c r="M48" s="64" t="str">
        <x:f>IF(OR(I48="",K48="",L48=""),"",I48*IF(K48="0 - Chưa từng",0,IF(K48="1 - Ít trải nghiệm",1/3,IF(K48="2 - Có trải nghiệm",2/3,1)))*(L48/5))</x:f>
      </x:c>
      <x:c r="N48" s="131"/>
    </x:row>
    <x:row r="49">
      <x:c r="A49" s="117"/>
      <x:c r="B49" s="118"/>
      <x:c r="C49" s="64"/>
      <x:c r="D49" s="64"/>
      <x:c r="E49" s="64"/>
      <x:c r="F49" s="64" t="str">
        <x:f>IFERROR(VLOOKUP(E49,'Hành động chung'!$A$2:$D$98,2,FALSE),"")</x:f>
      </x:c>
      <x:c r="G49" s="64" t="str">
        <x:f>IFERROR(VLOOKUP(E49,'Hành động chung'!$A$2:$D$98,3,FALSE),"")</x:f>
      </x:c>
      <x:c r="H49" s="64"/>
      <x:c r="I49" s="118" t="str">
        <x:f>IF(H49="","",IF(H49="Rất không thích",-2,IF(H49="Không thích",-1,IF(H49="Bình thường",0,IF(H49="Thích",1,IF(H49="Rất thích",2,""))))))</x:f>
      </x:c>
      <x:c r="J49" s="64"/>
      <x:c r="K49" s="64"/>
      <x:c r="L49" s="64"/>
      <x:c r="M49" s="64" t="str">
        <x:f>IF(OR(I49="",K49="",L49=""),"",I49*IF(K49="0 - Chưa từng",0,IF(K49="1 - Ít trải nghiệm",1/3,IF(K49="2 - Có trải nghiệm",2/3,1)))*(L49/5))</x:f>
      </x:c>
      <x:c r="N49" s="131"/>
    </x:row>
    <x:row r="50">
      <x:c r="A50" s="117"/>
      <x:c r="B50" s="118"/>
      <x:c r="C50" s="64"/>
      <x:c r="D50" s="64"/>
      <x:c r="E50" s="64"/>
      <x:c r="F50" s="64" t="str">
        <x:f>IFERROR(VLOOKUP(E50,'Hành động chung'!$A$2:$D$98,2,FALSE),"")</x:f>
      </x:c>
      <x:c r="G50" s="64" t="str">
        <x:f>IFERROR(VLOOKUP(E50,'Hành động chung'!$A$2:$D$98,3,FALSE),"")</x:f>
      </x:c>
      <x:c r="H50" s="64"/>
      <x:c r="I50" s="118" t="str">
        <x:f>IF(H50="","",IF(H50="Rất không thích",-2,IF(H50="Không thích",-1,IF(H50="Bình thường",0,IF(H50="Thích",1,IF(H50="Rất thích",2,""))))))</x:f>
      </x:c>
      <x:c r="J50" s="64"/>
      <x:c r="K50" s="64"/>
      <x:c r="L50" s="64"/>
      <x:c r="M50" s="64" t="str">
        <x:f>IF(OR(I50="",K50="",L50=""),"",I50*IF(K50="0 - Chưa từng",0,IF(K50="1 - Ít trải nghiệm",1/3,IF(K50="2 - Có trải nghiệm",2/3,1)))*(L50/5))</x:f>
      </x:c>
      <x:c r="N50" s="131"/>
    </x:row>
    <x:row r="51">
      <x:c r="A51" s="117"/>
      <x:c r="B51" s="118"/>
      <x:c r="C51" s="64"/>
      <x:c r="D51" s="64"/>
      <x:c r="E51" s="64"/>
      <x:c r="F51" s="64" t="str">
        <x:f>IFERROR(VLOOKUP(E51,'Hành động chung'!$A$2:$D$98,2,FALSE),"")</x:f>
      </x:c>
      <x:c r="G51" s="64" t="str">
        <x:f>IFERROR(VLOOKUP(E51,'Hành động chung'!$A$2:$D$98,3,FALSE),"")</x:f>
      </x:c>
      <x:c r="H51" s="64"/>
      <x:c r="I51" s="118" t="str">
        <x:f>IF(H51="","",IF(H51="Rất không thích",-2,IF(H51="Không thích",-1,IF(H51="Bình thường",0,IF(H51="Thích",1,IF(H51="Rất thích",2,""))))))</x:f>
      </x:c>
      <x:c r="J51" s="64"/>
      <x:c r="K51" s="64"/>
      <x:c r="L51" s="64"/>
      <x:c r="M51" s="64" t="str">
        <x:f>IF(OR(I51="",K51="",L51=""),"",I51*IF(K51="0 - Chưa từng",0,IF(K51="1 - Ít trải nghiệm",1/3,IF(K51="2 - Có trải nghiệm",2/3,1)))*(L51/5))</x:f>
      </x:c>
      <x:c r="N51" s="131"/>
    </x:row>
    <x:row r="52">
      <x:c r="A52" s="117"/>
      <x:c r="B52" s="118"/>
      <x:c r="C52" s="64"/>
      <x:c r="D52" s="64"/>
      <x:c r="E52" s="64"/>
      <x:c r="F52" s="64" t="str">
        <x:f>IFERROR(VLOOKUP(E52,'Hành động chung'!$A$2:$D$98,2,FALSE),"")</x:f>
      </x:c>
      <x:c r="G52" s="64" t="str">
        <x:f>IFERROR(VLOOKUP(E52,'Hành động chung'!$A$2:$D$98,3,FALSE),"")</x:f>
      </x:c>
      <x:c r="H52" s="64"/>
      <x:c r="I52" s="118" t="str">
        <x:f>IF(H52="","",IF(H52="Rất không thích",-2,IF(H52="Không thích",-1,IF(H52="Bình thường",0,IF(H52="Thích",1,IF(H52="Rất thích",2,""))))))</x:f>
      </x:c>
      <x:c r="J52" s="64"/>
      <x:c r="K52" s="64"/>
      <x:c r="L52" s="64"/>
      <x:c r="M52" s="64" t="str">
        <x:f>IF(OR(I52="",K52="",L52=""),"",I52*IF(K52="0 - Chưa từng",0,IF(K52="1 - Ít trải nghiệm",1/3,IF(K52="2 - Có trải nghiệm",2/3,1)))*(L52/5))</x:f>
      </x:c>
      <x:c r="N52" s="131"/>
    </x:row>
    <x:row r="53">
      <x:c r="A53" s="117"/>
      <x:c r="B53" s="118"/>
      <x:c r="C53" s="64"/>
      <x:c r="D53" s="64"/>
      <x:c r="E53" s="64"/>
      <x:c r="F53" s="64" t="str">
        <x:f>IFERROR(VLOOKUP(E53,'Hành động chung'!$A$2:$D$98,2,FALSE),"")</x:f>
      </x:c>
      <x:c r="G53" s="64" t="str">
        <x:f>IFERROR(VLOOKUP(E53,'Hành động chung'!$A$2:$D$98,3,FALSE),"")</x:f>
      </x:c>
      <x:c r="H53" s="64"/>
      <x:c r="I53" s="118" t="str">
        <x:f>IF(H53="","",IF(H53="Rất không thích",-2,IF(H53="Không thích",-1,IF(H53="Bình thường",0,IF(H53="Thích",1,IF(H53="Rất thích",2,""))))))</x:f>
      </x:c>
      <x:c r="J53" s="64"/>
      <x:c r="K53" s="64"/>
      <x:c r="L53" s="64"/>
      <x:c r="M53" s="64" t="str">
        <x:f>IF(OR(I53="",K53="",L53=""),"",I53*IF(K53="0 - Chưa từng",0,IF(K53="1 - Ít trải nghiệm",1/3,IF(K53="2 - Có trải nghiệm",2/3,1)))*(L53/5))</x:f>
      </x:c>
      <x:c r="N53" s="131"/>
    </x:row>
    <x:row r="54">
      <x:c r="A54" s="117"/>
      <x:c r="B54" s="118"/>
      <x:c r="C54" s="64"/>
      <x:c r="D54" s="64"/>
      <x:c r="E54" s="64"/>
      <x:c r="F54" s="64" t="str">
        <x:f>IFERROR(VLOOKUP(E54,'Hành động chung'!$A$2:$D$98,2,FALSE),"")</x:f>
      </x:c>
      <x:c r="G54" s="64" t="str">
        <x:f>IFERROR(VLOOKUP(E54,'Hành động chung'!$A$2:$D$98,3,FALSE),"")</x:f>
      </x:c>
      <x:c r="H54" s="64"/>
      <x:c r="I54" s="118" t="str">
        <x:f>IF(H54="","",IF(H54="Rất không thích",-2,IF(H54="Không thích",-1,IF(H54="Bình thường",0,IF(H54="Thích",1,IF(H54="Rất thích",2,""))))))</x:f>
      </x:c>
      <x:c r="J54" s="64"/>
      <x:c r="K54" s="64"/>
      <x:c r="L54" s="64"/>
      <x:c r="M54" s="64" t="str">
        <x:f>IF(OR(I54="",K54="",L54=""),"",I54*IF(K54="0 - Chưa từng",0,IF(K54="1 - Ít trải nghiệm",1/3,IF(K54="2 - Có trải nghiệm",2/3,1)))*(L54/5))</x:f>
      </x:c>
      <x:c r="N54" s="131"/>
    </x:row>
    <x:row r="55">
      <x:c r="A55" s="117"/>
      <x:c r="B55" s="118"/>
      <x:c r="C55" s="64"/>
      <x:c r="D55" s="64"/>
      <x:c r="E55" s="64"/>
      <x:c r="F55" s="64" t="str">
        <x:f>IFERROR(VLOOKUP(E55,'Hành động chung'!$A$2:$D$98,2,FALSE),"")</x:f>
      </x:c>
      <x:c r="G55" s="64" t="str">
        <x:f>IFERROR(VLOOKUP(E55,'Hành động chung'!$A$2:$D$98,3,FALSE),"")</x:f>
      </x:c>
      <x:c r="H55" s="64"/>
      <x:c r="I55" s="118" t="str">
        <x:f>IF(H55="","",IF(H55="Rất không thích",-2,IF(H55="Không thích",-1,IF(H55="Bình thường",0,IF(H55="Thích",1,IF(H55="Rất thích",2,""))))))</x:f>
      </x:c>
      <x:c r="J55" s="64"/>
      <x:c r="K55" s="64"/>
      <x:c r="L55" s="64"/>
      <x:c r="M55" s="64" t="str">
        <x:f>IF(OR(I55="",K55="",L55=""),"",I55*IF(K55="0 - Chưa từng",0,IF(K55="1 - Ít trải nghiệm",1/3,IF(K55="2 - Có trải nghiệm",2/3,1)))*(L55/5))</x:f>
      </x:c>
      <x:c r="N55" s="131"/>
    </x:row>
    <x:row r="56">
      <x:c r="A56" s="117"/>
      <x:c r="B56" s="118"/>
      <x:c r="C56" s="64"/>
      <x:c r="D56" s="64"/>
      <x:c r="E56" s="64"/>
      <x:c r="F56" s="64" t="str">
        <x:f>IFERROR(VLOOKUP(E56,'Hành động chung'!$A$2:$D$98,2,FALSE),"")</x:f>
      </x:c>
      <x:c r="G56" s="64" t="str">
        <x:f>IFERROR(VLOOKUP(E56,'Hành động chung'!$A$2:$D$98,3,FALSE),"")</x:f>
      </x:c>
      <x:c r="H56" s="64"/>
      <x:c r="I56" s="118" t="str">
        <x:f>IF(H56="","",IF(H56="Rất không thích",-2,IF(H56="Không thích",-1,IF(H56="Bình thường",0,IF(H56="Thích",1,IF(H56="Rất thích",2,""))))))</x:f>
      </x:c>
      <x:c r="J56" s="64"/>
      <x:c r="K56" s="64"/>
      <x:c r="L56" s="64"/>
      <x:c r="M56" s="64" t="str">
        <x:f>IF(OR(I56="",K56="",L56=""),"",I56*IF(K56="0 - Chưa từng",0,IF(K56="1 - Ít trải nghiệm",1/3,IF(K56="2 - Có trải nghiệm",2/3,1)))*(L56/5))</x:f>
      </x:c>
      <x:c r="N56" s="131"/>
    </x:row>
    <x:row r="57">
      <x:c r="A57" s="117"/>
      <x:c r="B57" s="118"/>
      <x:c r="C57" s="64"/>
      <x:c r="D57" s="64"/>
      <x:c r="E57" s="64"/>
      <x:c r="F57" s="64" t="str">
        <x:f>IFERROR(VLOOKUP(E57,'Hành động chung'!$A$2:$D$98,2,FALSE),"")</x:f>
      </x:c>
      <x:c r="G57" s="64" t="str">
        <x:f>IFERROR(VLOOKUP(E57,'Hành động chung'!$A$2:$D$98,3,FALSE),"")</x:f>
      </x:c>
      <x:c r="H57" s="64"/>
      <x:c r="I57" s="118" t="str">
        <x:f>IF(H57="","",IF(H57="Rất không thích",-2,IF(H57="Không thích",-1,IF(H57="Bình thường",0,IF(H57="Thích",1,IF(H57="Rất thích",2,""))))))</x:f>
      </x:c>
      <x:c r="J57" s="64"/>
      <x:c r="K57" s="64"/>
      <x:c r="L57" s="64"/>
      <x:c r="M57" s="64" t="str">
        <x:f>IF(OR(I57="",K57="",L57=""),"",I57*IF(K57="0 - Chưa từng",0,IF(K57="1 - Ít trải nghiệm",1/3,IF(K57="2 - Có trải nghiệm",2/3,1)))*(L57/5))</x:f>
      </x:c>
      <x:c r="N57" s="131"/>
    </x:row>
    <x:row r="58">
      <x:c r="A58" s="117"/>
      <x:c r="B58" s="118"/>
      <x:c r="C58" s="64"/>
      <x:c r="D58" s="64"/>
      <x:c r="E58" s="64"/>
      <x:c r="F58" s="64" t="str">
        <x:f>IFERROR(VLOOKUP(E58,'Hành động chung'!$A$2:$D$98,2,FALSE),"")</x:f>
      </x:c>
      <x:c r="G58" s="64" t="str">
        <x:f>IFERROR(VLOOKUP(E58,'Hành động chung'!$A$2:$D$98,3,FALSE),"")</x:f>
      </x:c>
      <x:c r="H58" s="64"/>
      <x:c r="I58" s="118" t="str">
        <x:f>IF(H58="","",IF(H58="Rất không thích",-2,IF(H58="Không thích",-1,IF(H58="Bình thường",0,IF(H58="Thích",1,IF(H58="Rất thích",2,""))))))</x:f>
      </x:c>
      <x:c r="J58" s="64"/>
      <x:c r="K58" s="64"/>
      <x:c r="L58" s="64"/>
      <x:c r="M58" s="64" t="str">
        <x:f>IF(OR(I58="",K58="",L58=""),"",I58*IF(K58="0 - Chưa từng",0,IF(K58="1 - Ít trải nghiệm",1/3,IF(K58="2 - Có trải nghiệm",2/3,1)))*(L58/5))</x:f>
      </x:c>
      <x:c r="N58" s="131"/>
    </x:row>
    <x:row r="59">
      <x:c r="A59" s="117"/>
      <x:c r="B59" s="118"/>
      <x:c r="C59" s="64"/>
      <x:c r="D59" s="64"/>
      <x:c r="E59" s="64"/>
      <x:c r="F59" s="64" t="str">
        <x:f>IFERROR(VLOOKUP(E59,'Hành động chung'!$A$2:$D$98,2,FALSE),"")</x:f>
      </x:c>
      <x:c r="G59" s="64" t="str">
        <x:f>IFERROR(VLOOKUP(E59,'Hành động chung'!$A$2:$D$98,3,FALSE),"")</x:f>
      </x:c>
      <x:c r="H59" s="64"/>
      <x:c r="I59" s="118" t="str">
        <x:f>IF(H59="","",IF(H59="Rất không thích",-2,IF(H59="Không thích",-1,IF(H59="Bình thường",0,IF(H59="Thích",1,IF(H59="Rất thích",2,""))))))</x:f>
      </x:c>
      <x:c r="J59" s="64"/>
      <x:c r="K59" s="64"/>
      <x:c r="L59" s="64"/>
      <x:c r="M59" s="64" t="str">
        <x:f>IF(OR(I59="",K59="",L59=""),"",I59*IF(K59="0 - Chưa từng",0,IF(K59="1 - Ít trải nghiệm",1/3,IF(K59="2 - Có trải nghiệm",2/3,1)))*(L59/5))</x:f>
      </x:c>
      <x:c r="N59" s="131"/>
    </x:row>
    <x:row r="60">
      <x:c r="A60" s="117"/>
      <x:c r="B60" s="118"/>
      <x:c r="C60" s="64"/>
      <x:c r="D60" s="64"/>
      <x:c r="E60" s="64"/>
      <x:c r="F60" s="64" t="str">
        <x:f>IFERROR(VLOOKUP(E60,'Hành động chung'!$A$2:$D$98,2,FALSE),"")</x:f>
      </x:c>
      <x:c r="G60" s="64" t="str">
        <x:f>IFERROR(VLOOKUP(E60,'Hành động chung'!$A$2:$D$98,3,FALSE),"")</x:f>
      </x:c>
      <x:c r="H60" s="64"/>
      <x:c r="I60" s="118" t="str">
        <x:f>IF(H60="","",IF(H60="Rất không thích",-2,IF(H60="Không thích",-1,IF(H60="Bình thường",0,IF(H60="Thích",1,IF(H60="Rất thích",2,""))))))</x:f>
      </x:c>
      <x:c r="J60" s="64"/>
      <x:c r="K60" s="64"/>
      <x:c r="L60" s="64"/>
      <x:c r="M60" s="64" t="str">
        <x:f>IF(OR(I60="",K60="",L60=""),"",I60*IF(K60="0 - Chưa từng",0,IF(K60="1 - Ít trải nghiệm",1/3,IF(K60="2 - Có trải nghiệm",2/3,1)))*(L60/5))</x:f>
      </x:c>
      <x:c r="N60" s="131"/>
    </x:row>
    <x:row r="61">
      <x:c r="A61" s="117"/>
      <x:c r="B61" s="118"/>
      <x:c r="C61" s="64"/>
      <x:c r="D61" s="64"/>
      <x:c r="E61" s="64"/>
      <x:c r="F61" s="64" t="str">
        <x:f>IFERROR(VLOOKUP(E61,'Hành động chung'!$A$2:$D$98,2,FALSE),"")</x:f>
      </x:c>
      <x:c r="G61" s="64" t="str">
        <x:f>IFERROR(VLOOKUP(E61,'Hành động chung'!$A$2:$D$98,3,FALSE),"")</x:f>
      </x:c>
      <x:c r="H61" s="64"/>
      <x:c r="I61" s="118" t="str">
        <x:f>IF(H61="","",IF(H61="Rất không thích",-2,IF(H61="Không thích",-1,IF(H61="Bình thường",0,IF(H61="Thích",1,IF(H61="Rất thích",2,""))))))</x:f>
      </x:c>
      <x:c r="J61" s="64"/>
      <x:c r="K61" s="64"/>
      <x:c r="L61" s="64"/>
      <x:c r="M61" s="64" t="str">
        <x:f>IF(OR(I61="",K61="",L61=""),"",I61*IF(K61="0 - Chưa từng",0,IF(K61="1 - Ít trải nghiệm",1/3,IF(K61="2 - Có trải nghiệm",2/3,1)))*(L61/5))</x:f>
      </x:c>
      <x:c r="N61" s="131"/>
    </x:row>
    <x:row r="62">
      <x:c r="A62" s="117"/>
      <x:c r="B62" s="118"/>
      <x:c r="C62" s="64"/>
      <x:c r="D62" s="64"/>
      <x:c r="E62" s="64"/>
      <x:c r="F62" s="64" t="str">
        <x:f>IFERROR(VLOOKUP(E62,'Hành động chung'!$A$2:$D$98,2,FALSE),"")</x:f>
      </x:c>
      <x:c r="G62" s="64" t="str">
        <x:f>IFERROR(VLOOKUP(E62,'Hành động chung'!$A$2:$D$98,3,FALSE),"")</x:f>
      </x:c>
      <x:c r="H62" s="64"/>
      <x:c r="I62" s="118" t="str">
        <x:f>IF(H62="","",IF(H62="Rất không thích",-2,IF(H62="Không thích",-1,IF(H62="Bình thường",0,IF(H62="Thích",1,IF(H62="Rất thích",2,""))))))</x:f>
      </x:c>
      <x:c r="J62" s="64"/>
      <x:c r="K62" s="64"/>
      <x:c r="L62" s="64"/>
      <x:c r="M62" s="64" t="str">
        <x:f>IF(OR(I62="",K62="",L62=""),"",I62*IF(K62="0 - Chưa từng",0,IF(K62="1 - Ít trải nghiệm",1/3,IF(K62="2 - Có trải nghiệm",2/3,1)))*(L62/5))</x:f>
      </x:c>
      <x:c r="N62" s="131"/>
    </x:row>
    <x:row r="63">
      <x:c r="A63" s="117"/>
      <x:c r="B63" s="118"/>
      <x:c r="C63" s="64"/>
      <x:c r="D63" s="64"/>
      <x:c r="E63" s="64"/>
      <x:c r="F63" s="64" t="str">
        <x:f>IFERROR(VLOOKUP(E63,'Hành động chung'!$A$2:$D$98,2,FALSE),"")</x:f>
      </x:c>
      <x:c r="G63" s="64" t="str">
        <x:f>IFERROR(VLOOKUP(E63,'Hành động chung'!$A$2:$D$98,3,FALSE),"")</x:f>
      </x:c>
      <x:c r="H63" s="64"/>
      <x:c r="I63" s="118" t="str">
        <x:f>IF(H63="","",IF(H63="Rất không thích",-2,IF(H63="Không thích",-1,IF(H63="Bình thường",0,IF(H63="Thích",1,IF(H63="Rất thích",2,""))))))</x:f>
      </x:c>
      <x:c r="J63" s="64"/>
      <x:c r="K63" s="64"/>
      <x:c r="L63" s="64"/>
      <x:c r="M63" s="64" t="str">
        <x:f>IF(OR(I63="",K63="",L63=""),"",I63*IF(K63="0 - Chưa từng",0,IF(K63="1 - Ít trải nghiệm",1/3,IF(K63="2 - Có trải nghiệm",2/3,1)))*(L63/5))</x:f>
      </x:c>
      <x:c r="N63" s="131"/>
    </x:row>
    <x:row r="64">
      <x:c r="A64" s="117"/>
      <x:c r="B64" s="118"/>
      <x:c r="C64" s="64"/>
      <x:c r="D64" s="64"/>
      <x:c r="E64" s="64"/>
      <x:c r="F64" s="64" t="str">
        <x:f>IFERROR(VLOOKUP(E64,'Hành động chung'!$A$2:$D$98,2,FALSE),"")</x:f>
      </x:c>
      <x:c r="G64" s="64" t="str">
        <x:f>IFERROR(VLOOKUP(E64,'Hành động chung'!$A$2:$D$98,3,FALSE),"")</x:f>
      </x:c>
      <x:c r="H64" s="64"/>
      <x:c r="I64" s="118" t="str">
        <x:f>IF(H64="","",IF(H64="Rất không thích",-2,IF(H64="Không thích",-1,IF(H64="Bình thường",0,IF(H64="Thích",1,IF(H64="Rất thích",2,""))))))</x:f>
      </x:c>
      <x:c r="J64" s="64"/>
      <x:c r="K64" s="64"/>
      <x:c r="L64" s="64"/>
      <x:c r="M64" s="64" t="str">
        <x:f>IF(OR(I64="",K64="",L64=""),"",I64*IF(K64="0 - Chưa từng",0,IF(K64="1 - Ít trải nghiệm",1/3,IF(K64="2 - Có trải nghiệm",2/3,1)))*(L64/5))</x:f>
      </x:c>
      <x:c r="N64" s="131"/>
    </x:row>
    <x:row r="65">
      <x:c r="A65" s="117"/>
      <x:c r="B65" s="118"/>
      <x:c r="C65" s="64"/>
      <x:c r="D65" s="64"/>
      <x:c r="E65" s="64"/>
      <x:c r="F65" s="64" t="str">
        <x:f>IFERROR(VLOOKUP(E65,'Hành động chung'!$A$2:$D$98,2,FALSE),"")</x:f>
      </x:c>
      <x:c r="G65" s="64" t="str">
        <x:f>IFERROR(VLOOKUP(E65,'Hành động chung'!$A$2:$D$98,3,FALSE),"")</x:f>
      </x:c>
      <x:c r="H65" s="64"/>
      <x:c r="I65" s="118" t="str">
        <x:f>IF(H65="","",IF(H65="Rất không thích",-2,IF(H65="Không thích",-1,IF(H65="Bình thường",0,IF(H65="Thích",1,IF(H65="Rất thích",2,""))))))</x:f>
      </x:c>
      <x:c r="J65" s="64"/>
      <x:c r="K65" s="64"/>
      <x:c r="L65" s="64"/>
      <x:c r="M65" s="64" t="str">
        <x:f>IF(OR(I65="",K65="",L65=""),"",I65*IF(K65="0 - Chưa từng",0,IF(K65="1 - Ít trải nghiệm",1/3,IF(K65="2 - Có trải nghiệm",2/3,1)))*(L65/5))</x:f>
      </x:c>
      <x:c r="N65" s="131"/>
    </x:row>
    <x:row r="66">
      <x:c r="A66" s="117"/>
      <x:c r="B66" s="118"/>
      <x:c r="C66" s="64"/>
      <x:c r="D66" s="64"/>
      <x:c r="E66" s="64"/>
      <x:c r="F66" s="64" t="str">
        <x:f>IFERROR(VLOOKUP(E66,'Hành động chung'!$A$2:$D$98,2,FALSE),"")</x:f>
      </x:c>
      <x:c r="G66" s="64" t="str">
        <x:f>IFERROR(VLOOKUP(E66,'Hành động chung'!$A$2:$D$98,3,FALSE),"")</x:f>
      </x:c>
      <x:c r="H66" s="64"/>
      <x:c r="I66" s="118" t="str">
        <x:f>IF(H66="","",IF(H66="Rất không thích",-2,IF(H66="Không thích",-1,IF(H66="Bình thường",0,IF(H66="Thích",1,IF(H66="Rất thích",2,""))))))</x:f>
      </x:c>
      <x:c r="J66" s="64"/>
      <x:c r="K66" s="64"/>
      <x:c r="L66" s="64"/>
      <x:c r="M66" s="64" t="str">
        <x:f>IF(OR(I66="",K66="",L66=""),"",I66*IF(K66="0 - Chưa từng",0,IF(K66="1 - Ít trải nghiệm",1/3,IF(K66="2 - Có trải nghiệm",2/3,1)))*(L66/5))</x:f>
      </x:c>
      <x:c r="N66" s="131"/>
    </x:row>
    <x:row r="67">
      <x:c r="A67" s="117"/>
      <x:c r="B67" s="118"/>
      <x:c r="C67" s="64"/>
      <x:c r="D67" s="64"/>
      <x:c r="E67" s="64"/>
      <x:c r="F67" s="64" t="str">
        <x:f>IFERROR(VLOOKUP(E67,'Hành động chung'!$A$2:$D$98,2,FALSE),"")</x:f>
      </x:c>
      <x:c r="G67" s="64" t="str">
        <x:f>IFERROR(VLOOKUP(E67,'Hành động chung'!$A$2:$D$98,3,FALSE),"")</x:f>
      </x:c>
      <x:c r="H67" s="64"/>
      <x:c r="I67" s="118" t="str">
        <x:f>IF(H67="","",IF(H67="Rất không thích",-2,IF(H67="Không thích",-1,IF(H67="Bình thường",0,IF(H67="Thích",1,IF(H67="Rất thích",2,""))))))</x:f>
      </x:c>
      <x:c r="J67" s="64"/>
      <x:c r="K67" s="64"/>
      <x:c r="L67" s="64"/>
      <x:c r="M67" s="64" t="str">
        <x:f>IF(OR(I67="",K67="",L67=""),"",I67*IF(K67="0 - Chưa từng",0,IF(K67="1 - Ít trải nghiệm",1/3,IF(K67="2 - Có trải nghiệm",2/3,1)))*(L67/5))</x:f>
      </x:c>
      <x:c r="N67" s="131"/>
    </x:row>
    <x:row r="68">
      <x:c r="A68" s="117"/>
      <x:c r="B68" s="118"/>
      <x:c r="C68" s="64"/>
      <x:c r="D68" s="64"/>
      <x:c r="E68" s="64"/>
      <x:c r="F68" s="64" t="str">
        <x:f>IFERROR(VLOOKUP(E68,'Hành động chung'!$A$2:$D$98,2,FALSE),"")</x:f>
      </x:c>
      <x:c r="G68" s="64" t="str">
        <x:f>IFERROR(VLOOKUP(E68,'Hành động chung'!$A$2:$D$98,3,FALSE),"")</x:f>
      </x:c>
      <x:c r="H68" s="64"/>
      <x:c r="I68" s="118" t="str">
        <x:f>IF(H68="","",IF(H68="Rất không thích",-2,IF(H68="Không thích",-1,IF(H68="Bình thường",0,IF(H68="Thích",1,IF(H68="Rất thích",2,""))))))</x:f>
      </x:c>
      <x:c r="J68" s="64"/>
      <x:c r="K68" s="64"/>
      <x:c r="L68" s="64"/>
      <x:c r="M68" s="64" t="str">
        <x:f>IF(OR(I68="",K68="",L68=""),"",I68*IF(K68="0 - Chưa từng",0,IF(K68="1 - Ít trải nghiệm",1/3,IF(K68="2 - Có trải nghiệm",2/3,1)))*(L68/5))</x:f>
      </x:c>
      <x:c r="N68" s="131"/>
    </x:row>
    <x:row r="69">
      <x:c r="A69" s="117"/>
      <x:c r="B69" s="118"/>
      <x:c r="C69" s="64"/>
      <x:c r="D69" s="64"/>
      <x:c r="E69" s="64"/>
      <x:c r="F69" s="64" t="str">
        <x:f>IFERROR(VLOOKUP(E69,'Hành động chung'!$A$2:$D$98,2,FALSE),"")</x:f>
      </x:c>
      <x:c r="G69" s="64" t="str">
        <x:f>IFERROR(VLOOKUP(E69,'Hành động chung'!$A$2:$D$98,3,FALSE),"")</x:f>
      </x:c>
      <x:c r="H69" s="64"/>
      <x:c r="I69" s="118" t="str">
        <x:f>IF(H69="","",IF(H69="Rất không thích",-2,IF(H69="Không thích",-1,IF(H69="Bình thường",0,IF(H69="Thích",1,IF(H69="Rất thích",2,""))))))</x:f>
      </x:c>
      <x:c r="J69" s="64"/>
      <x:c r="K69" s="64"/>
      <x:c r="L69" s="64"/>
      <x:c r="M69" s="64" t="str">
        <x:f>IF(OR(I69="",K69="",L69=""),"",I69*IF(K69="0 - Chưa từng",0,IF(K69="1 - Ít trải nghiệm",1/3,IF(K69="2 - Có trải nghiệm",2/3,1)))*(L69/5))</x:f>
      </x:c>
      <x:c r="N69" s="131"/>
    </x:row>
    <x:row r="70">
      <x:c r="A70" s="117"/>
      <x:c r="B70" s="118"/>
      <x:c r="C70" s="64"/>
      <x:c r="D70" s="64"/>
      <x:c r="E70" s="64"/>
      <x:c r="F70" s="64" t="str">
        <x:f>IFERROR(VLOOKUP(E70,'Hành động chung'!$A$2:$D$98,2,FALSE),"")</x:f>
      </x:c>
      <x:c r="G70" s="64" t="str">
        <x:f>IFERROR(VLOOKUP(E70,'Hành động chung'!$A$2:$D$98,3,FALSE),"")</x:f>
      </x:c>
      <x:c r="H70" s="64"/>
      <x:c r="I70" s="118" t="str">
        <x:f>IF(H70="","",IF(H70="Rất không thích",-2,IF(H70="Không thích",-1,IF(H70="Bình thường",0,IF(H70="Thích",1,IF(H70="Rất thích",2,""))))))</x:f>
      </x:c>
      <x:c r="J70" s="64"/>
      <x:c r="K70" s="64"/>
      <x:c r="L70" s="64"/>
      <x:c r="M70" s="64" t="str">
        <x:f>IF(OR(I70="",K70="",L70=""),"",I70*IF(K70="0 - Chưa từng",0,IF(K70="1 - Ít trải nghiệm",1/3,IF(K70="2 - Có trải nghiệm",2/3,1)))*(L70/5))</x:f>
      </x:c>
      <x:c r="N70" s="131"/>
    </x:row>
    <x:row r="71">
      <x:c r="A71" s="117"/>
      <x:c r="B71" s="118"/>
      <x:c r="C71" s="64"/>
      <x:c r="D71" s="64"/>
      <x:c r="E71" s="64"/>
      <x:c r="F71" s="64" t="str">
        <x:f>IFERROR(VLOOKUP(E71,'Hành động chung'!$A$2:$D$98,2,FALSE),"")</x:f>
      </x:c>
      <x:c r="G71" s="64" t="str">
        <x:f>IFERROR(VLOOKUP(E71,'Hành động chung'!$A$2:$D$98,3,FALSE),"")</x:f>
      </x:c>
      <x:c r="H71" s="64"/>
      <x:c r="I71" s="118" t="str">
        <x:f>IF(H71="","",IF(H71="Rất không thích",-2,IF(H71="Không thích",-1,IF(H71="Bình thường",0,IF(H71="Thích",1,IF(H71="Rất thích",2,""))))))</x:f>
      </x:c>
      <x:c r="J71" s="64"/>
      <x:c r="K71" s="64"/>
      <x:c r="L71" s="64"/>
      <x:c r="M71" s="64" t="str">
        <x:f>IF(OR(I71="",K71="",L71=""),"",I71*IF(K71="0 - Chưa từng",0,IF(K71="1 - Ít trải nghiệm",1/3,IF(K71="2 - Có trải nghiệm",2/3,1)))*(L71/5))</x:f>
      </x:c>
      <x:c r="N71" s="131"/>
    </x:row>
    <x:row r="72">
      <x:c r="A72" s="117"/>
      <x:c r="B72" s="118"/>
      <x:c r="C72" s="64"/>
      <x:c r="D72" s="64"/>
      <x:c r="E72" s="64"/>
      <x:c r="F72" s="64" t="str">
        <x:f>IFERROR(VLOOKUP(E72,'Hành động chung'!$A$2:$D$98,2,FALSE),"")</x:f>
      </x:c>
      <x:c r="G72" s="64" t="str">
        <x:f>IFERROR(VLOOKUP(E72,'Hành động chung'!$A$2:$D$98,3,FALSE),"")</x:f>
      </x:c>
      <x:c r="H72" s="64"/>
      <x:c r="I72" s="118" t="str">
        <x:f>IF(H72="","",IF(H72="Rất không thích",-2,IF(H72="Không thích",-1,IF(H72="Bình thường",0,IF(H72="Thích",1,IF(H72="Rất thích",2,""))))))</x:f>
      </x:c>
      <x:c r="J72" s="64"/>
      <x:c r="K72" s="64"/>
      <x:c r="L72" s="64"/>
      <x:c r="M72" s="64" t="str">
        <x:f>IF(OR(I72="",K72="",L72=""),"",I72*IF(K72="0 - Chưa từng",0,IF(K72="1 - Ít trải nghiệm",1/3,IF(K72="2 - Có trải nghiệm",2/3,1)))*(L72/5))</x:f>
      </x:c>
      <x:c r="N72" s="131"/>
    </x:row>
    <x:row r="73">
      <x:c r="A73" s="117"/>
      <x:c r="B73" s="118"/>
      <x:c r="C73" s="64"/>
      <x:c r="D73" s="64"/>
      <x:c r="E73" s="64"/>
      <x:c r="F73" s="64" t="str">
        <x:f>IFERROR(VLOOKUP(E73,'Hành động chung'!$A$2:$D$98,2,FALSE),"")</x:f>
      </x:c>
      <x:c r="G73" s="64" t="str">
        <x:f>IFERROR(VLOOKUP(E73,'Hành động chung'!$A$2:$D$98,3,FALSE),"")</x:f>
      </x:c>
      <x:c r="H73" s="64"/>
      <x:c r="I73" s="118" t="str">
        <x:f>IF(H73="","",IF(H73="Rất không thích",-2,IF(H73="Không thích",-1,IF(H73="Bình thường",0,IF(H73="Thích",1,IF(H73="Rất thích",2,""))))))</x:f>
      </x:c>
      <x:c r="J73" s="64"/>
      <x:c r="K73" s="64"/>
      <x:c r="L73" s="64"/>
      <x:c r="M73" s="64" t="str">
        <x:f>IF(OR(I73="",K73="",L73=""),"",I73*IF(K73="0 - Chưa từng",0,IF(K73="1 - Ít trải nghiệm",1/3,IF(K73="2 - Có trải nghiệm",2/3,1)))*(L73/5))</x:f>
      </x:c>
      <x:c r="N73" s="131"/>
    </x:row>
    <x:row r="74">
      <x:c r="A74" s="117"/>
      <x:c r="B74" s="118"/>
      <x:c r="C74" s="64"/>
      <x:c r="D74" s="64"/>
      <x:c r="E74" s="64"/>
      <x:c r="F74" s="64" t="str">
        <x:f>IFERROR(VLOOKUP(E74,'Hành động chung'!$A$2:$D$98,2,FALSE),"")</x:f>
      </x:c>
      <x:c r="G74" s="64" t="str">
        <x:f>IFERROR(VLOOKUP(E74,'Hành động chung'!$A$2:$D$98,3,FALSE),"")</x:f>
      </x:c>
      <x:c r="H74" s="64"/>
      <x:c r="I74" s="118" t="str">
        <x:f>IF(H74="","",IF(H74="Rất không thích",-2,IF(H74="Không thích",-1,IF(H74="Bình thường",0,IF(H74="Thích",1,IF(H74="Rất thích",2,""))))))</x:f>
      </x:c>
      <x:c r="J74" s="64"/>
      <x:c r="K74" s="64"/>
      <x:c r="L74" s="64"/>
      <x:c r="M74" s="64" t="str">
        <x:f>IF(OR(I74="",K74="",L74=""),"",I74*IF(K74="0 - Chưa từng",0,IF(K74="1 - Ít trải nghiệm",1/3,IF(K74="2 - Có trải nghiệm",2/3,1)))*(L74/5))</x:f>
      </x:c>
      <x:c r="N74" s="131"/>
    </x:row>
    <x:row r="75">
      <x:c r="A75" s="117"/>
      <x:c r="B75" s="118"/>
      <x:c r="C75" s="64"/>
      <x:c r="D75" s="64"/>
      <x:c r="E75" s="64"/>
      <x:c r="F75" s="64" t="str">
        <x:f>IFERROR(VLOOKUP(E75,'Hành động chung'!$A$2:$D$98,2,FALSE),"")</x:f>
      </x:c>
      <x:c r="G75" s="64" t="str">
        <x:f>IFERROR(VLOOKUP(E75,'Hành động chung'!$A$2:$D$98,3,FALSE),"")</x:f>
      </x:c>
      <x:c r="H75" s="64"/>
      <x:c r="I75" s="118" t="str">
        <x:f>IF(H75="","",IF(H75="Rất không thích",-2,IF(H75="Không thích",-1,IF(H75="Bình thường",0,IF(H75="Thích",1,IF(H75="Rất thích",2,""))))))</x:f>
      </x:c>
      <x:c r="J75" s="64"/>
      <x:c r="K75" s="64"/>
      <x:c r="L75" s="64"/>
      <x:c r="M75" s="64" t="str">
        <x:f>IF(OR(I75="",K75="",L75=""),"",I75*IF(K75="0 - Chưa từng",0,IF(K75="1 - Ít trải nghiệm",1/3,IF(K75="2 - Có trải nghiệm",2/3,1)))*(L75/5))</x:f>
      </x:c>
      <x:c r="N75" s="131"/>
    </x:row>
    <x:row r="76">
      <x:c r="A76" s="117"/>
      <x:c r="B76" s="118"/>
      <x:c r="C76" s="64"/>
      <x:c r="D76" s="64"/>
      <x:c r="E76" s="64"/>
      <x:c r="F76" s="64" t="str">
        <x:f>IFERROR(VLOOKUP(E76,'Hành động chung'!$A$2:$D$98,2,FALSE),"")</x:f>
      </x:c>
      <x:c r="G76" s="64" t="str">
        <x:f>IFERROR(VLOOKUP(E76,'Hành động chung'!$A$2:$D$98,3,FALSE),"")</x:f>
      </x:c>
      <x:c r="H76" s="64"/>
      <x:c r="I76" s="118" t="str">
        <x:f>IF(H76="","",IF(H76="Rất không thích",-2,IF(H76="Không thích",-1,IF(H76="Bình thường",0,IF(H76="Thích",1,IF(H76="Rất thích",2,""))))))</x:f>
      </x:c>
      <x:c r="J76" s="64"/>
      <x:c r="K76" s="64"/>
      <x:c r="L76" s="64"/>
      <x:c r="M76" s="64" t="str">
        <x:f>IF(OR(I76="",K76="",L76=""),"",I76*IF(K76="0 - Chưa từng",0,IF(K76="1 - Ít trải nghiệm",1/3,IF(K76="2 - Có trải nghiệm",2/3,1)))*(L76/5))</x:f>
      </x:c>
      <x:c r="N76" s="131"/>
    </x:row>
    <x:row r="77">
      <x:c r="A77" s="117"/>
      <x:c r="B77" s="118"/>
      <x:c r="C77" s="64"/>
      <x:c r="D77" s="64"/>
      <x:c r="E77" s="64"/>
      <x:c r="F77" s="64" t="str">
        <x:f>IFERROR(VLOOKUP(E77,'Hành động chung'!$A$2:$D$98,2,FALSE),"")</x:f>
      </x:c>
      <x:c r="G77" s="64" t="str">
        <x:f>IFERROR(VLOOKUP(E77,'Hành động chung'!$A$2:$D$98,3,FALSE),"")</x:f>
      </x:c>
      <x:c r="H77" s="64"/>
      <x:c r="I77" s="118" t="str">
        <x:f>IF(H77="","",IF(H77="Rất không thích",-2,IF(H77="Không thích",-1,IF(H77="Bình thường",0,IF(H77="Thích",1,IF(H77="Rất thích",2,""))))))</x:f>
      </x:c>
      <x:c r="J77" s="64"/>
      <x:c r="K77" s="64"/>
      <x:c r="L77" s="64"/>
      <x:c r="M77" s="64" t="str">
        <x:f>IF(OR(I77="",K77="",L77=""),"",I77*IF(K77="0 - Chưa từng",0,IF(K77="1 - Ít trải nghiệm",1/3,IF(K77="2 - Có trải nghiệm",2/3,1)))*(L77/5))</x:f>
      </x:c>
      <x:c r="N77" s="131"/>
    </x:row>
    <x:row r="78">
      <x:c r="A78" s="117"/>
      <x:c r="B78" s="118"/>
      <x:c r="C78" s="64"/>
      <x:c r="D78" s="64"/>
      <x:c r="E78" s="64"/>
      <x:c r="F78" s="64" t="str">
        <x:f>IFERROR(VLOOKUP(E78,'Hành động chung'!$A$2:$D$98,2,FALSE),"")</x:f>
      </x:c>
      <x:c r="G78" s="64" t="str">
        <x:f>IFERROR(VLOOKUP(E78,'Hành động chung'!$A$2:$D$98,3,FALSE),"")</x:f>
      </x:c>
      <x:c r="H78" s="64"/>
      <x:c r="I78" s="118" t="str">
        <x:f>IF(H78="","",IF(H78="Rất không thích",-2,IF(H78="Không thích",-1,IF(H78="Bình thường",0,IF(H78="Thích",1,IF(H78="Rất thích",2,""))))))</x:f>
      </x:c>
      <x:c r="J78" s="64"/>
      <x:c r="K78" s="64"/>
      <x:c r="L78" s="64"/>
      <x:c r="M78" s="64" t="str">
        <x:f>IF(OR(I78="",K78="",L78=""),"",I78*IF(K78="0 - Chưa từng",0,IF(K78="1 - Ít trải nghiệm",1/3,IF(K78="2 - Có trải nghiệm",2/3,1)))*(L78/5))</x:f>
      </x:c>
      <x:c r="N78" s="131"/>
    </x:row>
    <x:row r="79">
      <x:c r="A79" s="117"/>
      <x:c r="B79" s="118"/>
      <x:c r="C79" s="64"/>
      <x:c r="D79" s="64"/>
      <x:c r="E79" s="64"/>
      <x:c r="F79" s="64" t="str">
        <x:f>IFERROR(VLOOKUP(E79,'Hành động chung'!$A$2:$D$98,2,FALSE),"")</x:f>
      </x:c>
      <x:c r="G79" s="64" t="str">
        <x:f>IFERROR(VLOOKUP(E79,'Hành động chung'!$A$2:$D$98,3,FALSE),"")</x:f>
      </x:c>
      <x:c r="H79" s="64"/>
      <x:c r="I79" s="118" t="str">
        <x:f>IF(H79="","",IF(H79="Rất không thích",-2,IF(H79="Không thích",-1,IF(H79="Bình thường",0,IF(H79="Thích",1,IF(H79="Rất thích",2,""))))))</x:f>
      </x:c>
      <x:c r="J79" s="64"/>
      <x:c r="K79" s="64"/>
      <x:c r="L79" s="64"/>
      <x:c r="M79" s="64" t="str">
        <x:f>IF(OR(I79="",K79="",L79=""),"",I79*IF(K79="0 - Chưa từng",0,IF(K79="1 - Ít trải nghiệm",1/3,IF(K79="2 - Có trải nghiệm",2/3,1)))*(L79/5))</x:f>
      </x:c>
      <x:c r="N79" s="131"/>
    </x:row>
    <x:row r="80">
      <x:c r="A80" s="117"/>
      <x:c r="B80" s="118"/>
      <x:c r="C80" s="64"/>
      <x:c r="D80" s="64"/>
      <x:c r="E80" s="64"/>
      <x:c r="F80" s="64" t="str">
        <x:f>IFERROR(VLOOKUP(E80,'Hành động chung'!$A$2:$D$98,2,FALSE),"")</x:f>
      </x:c>
      <x:c r="G80" s="64" t="str">
        <x:f>IFERROR(VLOOKUP(E80,'Hành động chung'!$A$2:$D$98,3,FALSE),"")</x:f>
      </x:c>
      <x:c r="H80" s="64"/>
      <x:c r="I80" s="118" t="str">
        <x:f>IF(H80="","",IF(H80="Rất không thích",-2,IF(H80="Không thích",-1,IF(H80="Bình thường",0,IF(H80="Thích",1,IF(H80="Rất thích",2,""))))))</x:f>
      </x:c>
      <x:c r="J80" s="64"/>
      <x:c r="K80" s="64"/>
      <x:c r="L80" s="64"/>
      <x:c r="M80" s="64" t="str">
        <x:f>IF(OR(I80="",K80="",L80=""),"",I80*IF(K80="0 - Chưa từng",0,IF(K80="1 - Ít trải nghiệm",1/3,IF(K80="2 - Có trải nghiệm",2/3,1)))*(L80/5))</x:f>
      </x:c>
      <x:c r="N80" s="131"/>
    </x:row>
    <x:row r="81">
      <x:c r="A81" s="117"/>
      <x:c r="B81" s="118"/>
      <x:c r="C81" s="64"/>
      <x:c r="D81" s="64"/>
      <x:c r="E81" s="64"/>
      <x:c r="F81" s="64" t="str">
        <x:f>IFERROR(VLOOKUP(E81,'Hành động chung'!$A$2:$D$98,2,FALSE),"")</x:f>
      </x:c>
      <x:c r="G81" s="64" t="str">
        <x:f>IFERROR(VLOOKUP(E81,'Hành động chung'!$A$2:$D$98,3,FALSE),"")</x:f>
      </x:c>
      <x:c r="H81" s="64"/>
      <x:c r="I81" s="118" t="str">
        <x:f>IF(H81="","",IF(H81="Rất không thích",-2,IF(H81="Không thích",-1,IF(H81="Bình thường",0,IF(H81="Thích",1,IF(H81="Rất thích",2,""))))))</x:f>
      </x:c>
      <x:c r="J81" s="64"/>
      <x:c r="K81" s="64"/>
      <x:c r="L81" s="64"/>
      <x:c r="M81" s="64" t="str">
        <x:f>IF(OR(I81="",K81="",L81=""),"",I81*IF(K81="0 - Chưa từng",0,IF(K81="1 - Ít trải nghiệm",1/3,IF(K81="2 - Có trải nghiệm",2/3,1)))*(L81/5))</x:f>
      </x:c>
      <x:c r="N81" s="131"/>
    </x:row>
    <x:row r="82">
      <x:c r="A82" s="117"/>
      <x:c r="B82" s="118"/>
      <x:c r="C82" s="64"/>
      <x:c r="D82" s="64"/>
      <x:c r="E82" s="64"/>
      <x:c r="F82" s="64" t="str">
        <x:f>IFERROR(VLOOKUP(E82,'Hành động chung'!$A$2:$D$98,2,FALSE),"")</x:f>
      </x:c>
      <x:c r="G82" s="64" t="str">
        <x:f>IFERROR(VLOOKUP(E82,'Hành động chung'!$A$2:$D$98,3,FALSE),"")</x:f>
      </x:c>
      <x:c r="H82" s="64"/>
      <x:c r="I82" s="118" t="str">
        <x:f>IF(H82="","",IF(H82="Rất không thích",-2,IF(H82="Không thích",-1,IF(H82="Bình thường",0,IF(H82="Thích",1,IF(H82="Rất thích",2,""))))))</x:f>
      </x:c>
      <x:c r="J82" s="64"/>
      <x:c r="K82" s="64"/>
      <x:c r="L82" s="64"/>
      <x:c r="M82" s="64" t="str">
        <x:f>IF(OR(I82="",K82="",L82=""),"",I82*IF(K82="0 - Chưa từng",0,IF(K82="1 - Ít trải nghiệm",1/3,IF(K82="2 - Có trải nghiệm",2/3,1)))*(L82/5))</x:f>
      </x:c>
      <x:c r="N82" s="131"/>
    </x:row>
    <x:row r="83">
      <x:c r="A83" s="117"/>
      <x:c r="B83" s="118"/>
      <x:c r="C83" s="64"/>
      <x:c r="D83" s="64"/>
      <x:c r="E83" s="64"/>
      <x:c r="F83" s="64" t="str">
        <x:f>IFERROR(VLOOKUP(E83,'Hành động chung'!$A$2:$D$98,2,FALSE),"")</x:f>
      </x:c>
      <x:c r="G83" s="64" t="str">
        <x:f>IFERROR(VLOOKUP(E83,'Hành động chung'!$A$2:$D$98,3,FALSE),"")</x:f>
      </x:c>
      <x:c r="H83" s="64"/>
      <x:c r="I83" s="118" t="str">
        <x:f>IF(H83="","",IF(H83="Rất không thích",-2,IF(H83="Không thích",-1,IF(H83="Bình thường",0,IF(H83="Thích",1,IF(H83="Rất thích",2,""))))))</x:f>
      </x:c>
      <x:c r="J83" s="64"/>
      <x:c r="K83" s="64"/>
      <x:c r="L83" s="64"/>
      <x:c r="M83" s="64" t="str">
        <x:f>IF(OR(I83="",K83="",L83=""),"",I83*IF(K83="0 - Chưa từng",0,IF(K83="1 - Ít trải nghiệm",1/3,IF(K83="2 - Có trải nghiệm",2/3,1)))*(L83/5))</x:f>
      </x:c>
      <x:c r="N83" s="131"/>
    </x:row>
    <x:row r="84">
      <x:c r="A84" s="117"/>
      <x:c r="B84" s="118"/>
      <x:c r="C84" s="64"/>
      <x:c r="D84" s="64"/>
      <x:c r="E84" s="64"/>
      <x:c r="F84" s="64" t="str">
        <x:f>IFERROR(VLOOKUP(E84,'Hành động chung'!$A$2:$D$98,2,FALSE),"")</x:f>
      </x:c>
      <x:c r="G84" s="64" t="str">
        <x:f>IFERROR(VLOOKUP(E84,'Hành động chung'!$A$2:$D$98,3,FALSE),"")</x:f>
      </x:c>
      <x:c r="H84" s="64"/>
      <x:c r="I84" s="118" t="str">
        <x:f>IF(H84="","",IF(H84="Rất không thích",-2,IF(H84="Không thích",-1,IF(H84="Bình thường",0,IF(H84="Thích",1,IF(H84="Rất thích",2,""))))))</x:f>
      </x:c>
      <x:c r="J84" s="64"/>
      <x:c r="K84" s="64"/>
      <x:c r="L84" s="64"/>
      <x:c r="M84" s="64" t="str">
        <x:f>IF(OR(I84="",K84="",L84=""),"",I84*IF(K84="0 - Chưa từng",0,IF(K84="1 - Ít trải nghiệm",1/3,IF(K84="2 - Có trải nghiệm",2/3,1)))*(L84/5))</x:f>
      </x:c>
      <x:c r="N84" s="131"/>
    </x:row>
    <x:row r="85">
      <x:c r="A85" s="117"/>
      <x:c r="B85" s="118"/>
      <x:c r="C85" s="64"/>
      <x:c r="D85" s="64"/>
      <x:c r="E85" s="64"/>
      <x:c r="F85" s="64" t="str">
        <x:f>IFERROR(VLOOKUP(E85,'Hành động chung'!$A$2:$D$98,2,FALSE),"")</x:f>
      </x:c>
      <x:c r="G85" s="64" t="str">
        <x:f>IFERROR(VLOOKUP(E85,'Hành động chung'!$A$2:$D$98,3,FALSE),"")</x:f>
      </x:c>
      <x:c r="H85" s="64"/>
      <x:c r="I85" s="118" t="str">
        <x:f>IF(H85="","",IF(H85="Rất không thích",-2,IF(H85="Không thích",-1,IF(H85="Bình thường",0,IF(H85="Thích",1,IF(H85="Rất thích",2,""))))))</x:f>
      </x:c>
      <x:c r="J85" s="64"/>
      <x:c r="K85" s="64"/>
      <x:c r="L85" s="64"/>
      <x:c r="M85" s="64" t="str">
        <x:f>IF(OR(I85="",K85="",L85=""),"",I85*IF(K85="0 - Chưa từng",0,IF(K85="1 - Ít trải nghiệm",1/3,IF(K85="2 - Có trải nghiệm",2/3,1)))*(L85/5))</x:f>
      </x:c>
      <x:c r="N85" s="131"/>
    </x:row>
    <x:row r="86">
      <x:c r="A86" s="117"/>
      <x:c r="B86" s="118"/>
      <x:c r="C86" s="64"/>
      <x:c r="D86" s="64"/>
      <x:c r="E86" s="64"/>
      <x:c r="F86" s="64" t="str">
        <x:f>IFERROR(VLOOKUP(E86,'Hành động chung'!$A$2:$D$98,2,FALSE),"")</x:f>
      </x:c>
      <x:c r="G86" s="64" t="str">
        <x:f>IFERROR(VLOOKUP(E86,'Hành động chung'!$A$2:$D$98,3,FALSE),"")</x:f>
      </x:c>
      <x:c r="H86" s="64"/>
      <x:c r="I86" s="118" t="str">
        <x:f>IF(H86="","",IF(H86="Rất không thích",-2,IF(H86="Không thích",-1,IF(H86="Bình thường",0,IF(H86="Thích",1,IF(H86="Rất thích",2,""))))))</x:f>
      </x:c>
      <x:c r="J86" s="64"/>
      <x:c r="K86" s="64"/>
      <x:c r="L86" s="64"/>
      <x:c r="M86" s="64" t="str">
        <x:f>IF(OR(I86="",K86="",L86=""),"",I86*IF(K86="0 - Chưa từng",0,IF(K86="1 - Ít trải nghiệm",1/3,IF(K86="2 - Có trải nghiệm",2/3,1)))*(L86/5))</x:f>
      </x:c>
      <x:c r="N86" s="131"/>
    </x:row>
    <x:row r="87">
      <x:c r="A87" s="117"/>
      <x:c r="B87" s="118"/>
      <x:c r="C87" s="64"/>
      <x:c r="D87" s="64"/>
      <x:c r="E87" s="64"/>
      <x:c r="F87" s="64" t="str">
        <x:f>IFERROR(VLOOKUP(E87,'Hành động chung'!$A$2:$D$98,2,FALSE),"")</x:f>
      </x:c>
      <x:c r="G87" s="64" t="str">
        <x:f>IFERROR(VLOOKUP(E87,'Hành động chung'!$A$2:$D$98,3,FALSE),"")</x:f>
      </x:c>
      <x:c r="H87" s="64"/>
      <x:c r="I87" s="118" t="str">
        <x:f>IF(H87="","",IF(H87="Rất không thích",-2,IF(H87="Không thích",-1,IF(H87="Bình thường",0,IF(H87="Thích",1,IF(H87="Rất thích",2,""))))))</x:f>
      </x:c>
      <x:c r="J87" s="64"/>
      <x:c r="K87" s="64"/>
      <x:c r="L87" s="64"/>
      <x:c r="M87" s="64" t="str">
        <x:f>IF(OR(I87="",K87="",L87=""),"",I87*IF(K87="0 - Chưa từng",0,IF(K87="1 - Ít trải nghiệm",1/3,IF(K87="2 - Có trải nghiệm",2/3,1)))*(L87/5))</x:f>
      </x:c>
      <x:c r="N87" s="131"/>
    </x:row>
    <x:row r="88">
      <x:c r="A88" s="117"/>
      <x:c r="B88" s="118"/>
      <x:c r="C88" s="64"/>
      <x:c r="D88" s="64"/>
      <x:c r="E88" s="64"/>
      <x:c r="F88" s="64" t="str">
        <x:f>IFERROR(VLOOKUP(E88,'Hành động chung'!$A$2:$D$98,2,FALSE),"")</x:f>
      </x:c>
      <x:c r="G88" s="64" t="str">
        <x:f>IFERROR(VLOOKUP(E88,'Hành động chung'!$A$2:$D$98,3,FALSE),"")</x:f>
      </x:c>
      <x:c r="H88" s="64"/>
      <x:c r="I88" s="118" t="str">
        <x:f>IF(H88="","",IF(H88="Rất không thích",-2,IF(H88="Không thích",-1,IF(H88="Bình thường",0,IF(H88="Thích",1,IF(H88="Rất thích",2,""))))))</x:f>
      </x:c>
      <x:c r="J88" s="64"/>
      <x:c r="K88" s="64"/>
      <x:c r="L88" s="64"/>
      <x:c r="M88" s="64" t="str">
        <x:f>IF(OR(I88="",K88="",L88=""),"",I88*IF(K88="0 - Chưa từng",0,IF(K88="1 - Ít trải nghiệm",1/3,IF(K88="2 - Có trải nghiệm",2/3,1)))*(L88/5))</x:f>
      </x:c>
      <x:c r="N88" s="131"/>
    </x:row>
    <x:row r="89">
      <x:c r="A89" s="117"/>
      <x:c r="B89" s="118"/>
      <x:c r="C89" s="64"/>
      <x:c r="D89" s="64"/>
      <x:c r="E89" s="64"/>
      <x:c r="F89" s="64" t="str">
        <x:f>IFERROR(VLOOKUP(E89,'Hành động chung'!$A$2:$D$98,2,FALSE),"")</x:f>
      </x:c>
      <x:c r="G89" s="64" t="str">
        <x:f>IFERROR(VLOOKUP(E89,'Hành động chung'!$A$2:$D$98,3,FALSE),"")</x:f>
      </x:c>
      <x:c r="H89" s="64"/>
      <x:c r="I89" s="118" t="str">
        <x:f>IF(H89="","",IF(H89="Rất không thích",-2,IF(H89="Không thích",-1,IF(H89="Bình thường",0,IF(H89="Thích",1,IF(H89="Rất thích",2,""))))))</x:f>
      </x:c>
      <x:c r="J89" s="64"/>
      <x:c r="K89" s="64"/>
      <x:c r="L89" s="64"/>
      <x:c r="M89" s="64" t="str">
        <x:f>IF(OR(I89="",K89="",L89=""),"",I89*IF(K89="0 - Chưa từng",0,IF(K89="1 - Ít trải nghiệm",1/3,IF(K89="2 - Có trải nghiệm",2/3,1)))*(L89/5))</x:f>
      </x:c>
      <x:c r="N89" s="131"/>
    </x:row>
    <x:row r="90">
      <x:c r="A90" s="117"/>
      <x:c r="B90" s="118"/>
      <x:c r="C90" s="64"/>
      <x:c r="D90" s="64"/>
      <x:c r="E90" s="64"/>
      <x:c r="F90" s="64" t="str">
        <x:f>IFERROR(VLOOKUP(E90,'Hành động chung'!$A$2:$D$98,2,FALSE),"")</x:f>
      </x:c>
      <x:c r="G90" s="64" t="str">
        <x:f>IFERROR(VLOOKUP(E90,'Hành động chung'!$A$2:$D$98,3,FALSE),"")</x:f>
      </x:c>
      <x:c r="H90" s="64"/>
      <x:c r="I90" s="118" t="str">
        <x:f>IF(H90="","",IF(H90="Rất không thích",-2,IF(H90="Không thích",-1,IF(H90="Bình thường",0,IF(H90="Thích",1,IF(H90="Rất thích",2,""))))))</x:f>
      </x:c>
      <x:c r="J90" s="64"/>
      <x:c r="K90" s="64"/>
      <x:c r="L90" s="64"/>
      <x:c r="M90" s="64" t="str">
        <x:f>IF(OR(I90="",K90="",L90=""),"",I90*IF(K90="0 - Chưa từng",0,IF(K90="1 - Ít trải nghiệm",1/3,IF(K90="2 - Có trải nghiệm",2/3,1)))*(L90/5))</x:f>
      </x:c>
      <x:c r="N90" s="131"/>
    </x:row>
    <x:row r="91">
      <x:c r="A91" s="117"/>
      <x:c r="B91" s="118"/>
      <x:c r="C91" s="64"/>
      <x:c r="D91" s="64"/>
      <x:c r="E91" s="64"/>
      <x:c r="F91" s="64" t="str">
        <x:f>IFERROR(VLOOKUP(E91,'Hành động chung'!$A$2:$D$98,2,FALSE),"")</x:f>
      </x:c>
      <x:c r="G91" s="64" t="str">
        <x:f>IFERROR(VLOOKUP(E91,'Hành động chung'!$A$2:$D$98,3,FALSE),"")</x:f>
      </x:c>
      <x:c r="H91" s="64"/>
      <x:c r="I91" s="118" t="str">
        <x:f>IF(H91="","",IF(H91="Rất không thích",-2,IF(H91="Không thích",-1,IF(H91="Bình thường",0,IF(H91="Thích",1,IF(H91="Rất thích",2,""))))))</x:f>
      </x:c>
      <x:c r="J91" s="64"/>
      <x:c r="K91" s="64"/>
      <x:c r="L91" s="64"/>
      <x:c r="M91" s="64" t="str">
        <x:f>IF(OR(I91="",K91="",L91=""),"",I91*IF(K91="0 - Chưa từng",0,IF(K91="1 - Ít trải nghiệm",1/3,IF(K91="2 - Có trải nghiệm",2/3,1)))*(L91/5))</x:f>
      </x:c>
      <x:c r="N91" s="131"/>
    </x:row>
    <x:row r="92">
      <x:c r="A92" s="117"/>
      <x:c r="B92" s="118"/>
      <x:c r="C92" s="64"/>
      <x:c r="D92" s="64"/>
      <x:c r="E92" s="64"/>
      <x:c r="F92" s="64" t="str">
        <x:f>IFERROR(VLOOKUP(E92,'Hành động chung'!$A$2:$D$98,2,FALSE),"")</x:f>
      </x:c>
      <x:c r="G92" s="64" t="str">
        <x:f>IFERROR(VLOOKUP(E92,'Hành động chung'!$A$2:$D$98,3,FALSE),"")</x:f>
      </x:c>
      <x:c r="H92" s="64"/>
      <x:c r="I92" s="118" t="str">
        <x:f>IF(H92="","",IF(H92="Rất không thích",-2,IF(H92="Không thích",-1,IF(H92="Bình thường",0,IF(H92="Thích",1,IF(H92="Rất thích",2,""))))))</x:f>
      </x:c>
      <x:c r="J92" s="64"/>
      <x:c r="K92" s="64"/>
      <x:c r="L92" s="64"/>
      <x:c r="M92" s="64" t="str">
        <x:f>IF(OR(I92="",K92="",L92=""),"",I92*IF(K92="0 - Chưa từng",0,IF(K92="1 - Ít trải nghiệm",1/3,IF(K92="2 - Có trải nghiệm",2/3,1)))*(L92/5))</x:f>
      </x:c>
      <x:c r="N92" s="131"/>
    </x:row>
    <x:row r="93">
      <x:c r="A93" s="117"/>
      <x:c r="B93" s="118"/>
      <x:c r="C93" s="64"/>
      <x:c r="D93" s="64"/>
      <x:c r="E93" s="64"/>
      <x:c r="F93" s="64" t="str">
        <x:f>IFERROR(VLOOKUP(E93,'Hành động chung'!$A$2:$D$98,2,FALSE),"")</x:f>
      </x:c>
      <x:c r="G93" s="64" t="str">
        <x:f>IFERROR(VLOOKUP(E93,'Hành động chung'!$A$2:$D$98,3,FALSE),"")</x:f>
      </x:c>
      <x:c r="H93" s="64"/>
      <x:c r="I93" s="118" t="str">
        <x:f>IF(H93="","",IF(H93="Rất không thích",-2,IF(H93="Không thích",-1,IF(H93="Bình thường",0,IF(H93="Thích",1,IF(H93="Rất thích",2,""))))))</x:f>
      </x:c>
      <x:c r="J93" s="64"/>
      <x:c r="K93" s="64"/>
      <x:c r="L93" s="64"/>
      <x:c r="M93" s="64" t="str">
        <x:f>IF(OR(I93="",K93="",L93=""),"",I93*IF(K93="0 - Chưa từng",0,IF(K93="1 - Ít trải nghiệm",1/3,IF(K93="2 - Có trải nghiệm",2/3,1)))*(L93/5))</x:f>
      </x:c>
      <x:c r="N93" s="131"/>
    </x:row>
    <x:row r="94">
      <x:c r="A94" s="117"/>
      <x:c r="B94" s="118"/>
      <x:c r="C94" s="64"/>
      <x:c r="D94" s="64"/>
      <x:c r="E94" s="64"/>
      <x:c r="F94" s="64" t="str">
        <x:f>IFERROR(VLOOKUP(E94,'Hành động chung'!$A$2:$D$98,2,FALSE),"")</x:f>
      </x:c>
      <x:c r="G94" s="64" t="str">
        <x:f>IFERROR(VLOOKUP(E94,'Hành động chung'!$A$2:$D$98,3,FALSE),"")</x:f>
      </x:c>
      <x:c r="H94" s="64"/>
      <x:c r="I94" s="118" t="str">
        <x:f>IF(H94="","",IF(H94="Rất không thích",-2,IF(H94="Không thích",-1,IF(H94="Bình thường",0,IF(H94="Thích",1,IF(H94="Rất thích",2,""))))))</x:f>
      </x:c>
      <x:c r="J94" s="64"/>
      <x:c r="K94" s="64"/>
      <x:c r="L94" s="64"/>
      <x:c r="M94" s="64" t="str">
        <x:f>IF(OR(I94="",K94="",L94=""),"",I94*IF(K94="0 - Chưa từng",0,IF(K94="1 - Ít trải nghiệm",1/3,IF(K94="2 - Có trải nghiệm",2/3,1)))*(L94/5))</x:f>
      </x:c>
      <x:c r="N94" s="131"/>
    </x:row>
    <x:row r="95">
      <x:c r="A95" s="117"/>
      <x:c r="B95" s="118"/>
      <x:c r="C95" s="64"/>
      <x:c r="D95" s="64"/>
      <x:c r="E95" s="64"/>
      <x:c r="F95" s="64" t="str">
        <x:f>IFERROR(VLOOKUP(E95,'Hành động chung'!$A$2:$D$98,2,FALSE),"")</x:f>
      </x:c>
      <x:c r="G95" s="64" t="str">
        <x:f>IFERROR(VLOOKUP(E95,'Hành động chung'!$A$2:$D$98,3,FALSE),"")</x:f>
      </x:c>
      <x:c r="H95" s="64"/>
      <x:c r="I95" s="118" t="str">
        <x:f>IF(H95="","",IF(H95="Rất không thích",-2,IF(H95="Không thích",-1,IF(H95="Bình thường",0,IF(H95="Thích",1,IF(H95="Rất thích",2,""))))))</x:f>
      </x:c>
      <x:c r="J95" s="64"/>
      <x:c r="K95" s="64"/>
      <x:c r="L95" s="64"/>
      <x:c r="M95" s="64" t="str">
        <x:f>IF(OR(I95="",K95="",L95=""),"",I95*IF(K95="0 - Chưa từng",0,IF(K95="1 - Ít trải nghiệm",1/3,IF(K95="2 - Có trải nghiệm",2/3,1)))*(L95/5))</x:f>
      </x:c>
      <x:c r="N95" s="131"/>
    </x:row>
    <x:row r="96">
      <x:c r="A96" s="117"/>
      <x:c r="B96" s="118"/>
      <x:c r="C96" s="64"/>
      <x:c r="D96" s="64"/>
      <x:c r="E96" s="64"/>
      <x:c r="F96" s="64" t="str">
        <x:f>IFERROR(VLOOKUP(E96,'Hành động chung'!$A$2:$D$98,2,FALSE),"")</x:f>
      </x:c>
      <x:c r="G96" s="64" t="str">
        <x:f>IFERROR(VLOOKUP(E96,'Hành động chung'!$A$2:$D$98,3,FALSE),"")</x:f>
      </x:c>
      <x:c r="H96" s="64"/>
      <x:c r="I96" s="118" t="str">
        <x:f>IF(H96="","",IF(H96="Rất không thích",-2,IF(H96="Không thích",-1,IF(H96="Bình thường",0,IF(H96="Thích",1,IF(H96="Rất thích",2,""))))))</x:f>
      </x:c>
      <x:c r="J96" s="64"/>
      <x:c r="K96" s="64"/>
      <x:c r="L96" s="64"/>
      <x:c r="M96" s="64" t="str">
        <x:f>IF(OR(I96="",K96="",L96=""),"",I96*IF(K96="0 - Chưa từng",0,IF(K96="1 - Ít trải nghiệm",1/3,IF(K96="2 - Có trải nghiệm",2/3,1)))*(L96/5))</x:f>
      </x:c>
      <x:c r="N96" s="131"/>
    </x:row>
    <x:row r="97">
      <x:c r="A97" s="117"/>
      <x:c r="B97" s="118"/>
      <x:c r="C97" s="64"/>
      <x:c r="D97" s="64"/>
      <x:c r="E97" s="64"/>
      <x:c r="F97" s="64" t="str">
        <x:f>IFERROR(VLOOKUP(E97,'Hành động chung'!$A$2:$D$98,2,FALSE),"")</x:f>
      </x:c>
      <x:c r="G97" s="64" t="str">
        <x:f>IFERROR(VLOOKUP(E97,'Hành động chung'!$A$2:$D$98,3,FALSE),"")</x:f>
      </x:c>
      <x:c r="H97" s="64"/>
      <x:c r="I97" s="118" t="str">
        <x:f>IF(H97="","",IF(H97="Rất không thích",-2,IF(H97="Không thích",-1,IF(H97="Bình thường",0,IF(H97="Thích",1,IF(H97="Rất thích",2,""))))))</x:f>
      </x:c>
      <x:c r="J97" s="64"/>
      <x:c r="K97" s="64"/>
      <x:c r="L97" s="64"/>
      <x:c r="M97" s="64" t="str">
        <x:f>IF(OR(I97="",K97="",L97=""),"",I97*IF(K97="0 - Chưa từng",0,IF(K97="1 - Ít trải nghiệm",1/3,IF(K97="2 - Có trải nghiệm",2/3,1)))*(L97/5))</x:f>
      </x:c>
      <x:c r="N97" s="131"/>
    </x:row>
    <x:row r="98">
      <x:c r="A98" s="117"/>
      <x:c r="B98" s="118"/>
      <x:c r="C98" s="64"/>
      <x:c r="D98" s="64"/>
      <x:c r="E98" s="64"/>
      <x:c r="F98" s="64" t="str">
        <x:f>IFERROR(VLOOKUP(E98,'Hành động chung'!$A$2:$D$98,2,FALSE),"")</x:f>
      </x:c>
      <x:c r="G98" s="64" t="str">
        <x:f>IFERROR(VLOOKUP(E98,'Hành động chung'!$A$2:$D$98,3,FALSE),"")</x:f>
      </x:c>
      <x:c r="H98" s="64"/>
      <x:c r="I98" s="118" t="str">
        <x:f>IF(H98="","",IF(H98="Rất không thích",-2,IF(H98="Không thích",-1,IF(H98="Bình thường",0,IF(H98="Thích",1,IF(H98="Rất thích",2,""))))))</x:f>
      </x:c>
      <x:c r="J98" s="64"/>
      <x:c r="K98" s="64"/>
      <x:c r="L98" s="64"/>
      <x:c r="M98" s="64" t="str">
        <x:f>IF(OR(I98="",K98="",L98=""),"",I98*IF(K98="0 - Chưa từng",0,IF(K98="1 - Ít trải nghiệm",1/3,IF(K98="2 - Có trải nghiệm",2/3,1)))*(L98/5))</x:f>
      </x:c>
      <x:c r="N98" s="131"/>
    </x:row>
    <x:row r="99">
      <x:c r="A99" s="117"/>
      <x:c r="B99" s="118"/>
      <x:c r="C99" s="64"/>
      <x:c r="D99" s="64"/>
      <x:c r="E99" s="64"/>
      <x:c r="F99" s="64" t="str">
        <x:f>IFERROR(VLOOKUP(E99,'Hành động chung'!$A$2:$D$98,2,FALSE),"")</x:f>
      </x:c>
      <x:c r="G99" s="64" t="str">
        <x:f>IFERROR(VLOOKUP(E99,'Hành động chung'!$A$2:$D$98,3,FALSE),"")</x:f>
      </x:c>
      <x:c r="H99" s="64"/>
      <x:c r="I99" s="118" t="str">
        <x:f>IF(H99="","",IF(H99="Rất không thích",-2,IF(H99="Không thích",-1,IF(H99="Bình thường",0,IF(H99="Thích",1,IF(H99="Rất thích",2,""))))))</x:f>
      </x:c>
      <x:c r="J99" s="64"/>
      <x:c r="K99" s="64"/>
      <x:c r="L99" s="64"/>
      <x:c r="M99" s="64" t="str">
        <x:f>IF(OR(I99="",K99="",L99=""),"",I99*IF(K99="0 - Chưa từng",0,IF(K99="1 - Ít trải nghiệm",1/3,IF(K99="2 - Có trải nghiệm",2/3,1)))*(L99/5))</x:f>
      </x:c>
      <x:c r="N99" s="131"/>
    </x:row>
    <x:row r="100">
      <x:c r="A100" s="117"/>
      <x:c r="B100" s="118"/>
      <x:c r="C100" s="64"/>
      <x:c r="D100" s="64"/>
      <x:c r="E100" s="64"/>
      <x:c r="F100" s="64" t="str">
        <x:f>IFERROR(VLOOKUP(E100,'Hành động chung'!$A$2:$D$98,2,FALSE),"")</x:f>
      </x:c>
      <x:c r="G100" s="64" t="str">
        <x:f>IFERROR(VLOOKUP(E100,'Hành động chung'!$A$2:$D$98,3,FALSE),"")</x:f>
      </x:c>
      <x:c r="H100" s="64"/>
      <x:c r="I100" s="118" t="str">
        <x:f>IF(H100="","",IF(H100="Rất không thích",-2,IF(H100="Không thích",-1,IF(H100="Bình thường",0,IF(H100="Thích",1,IF(H100="Rất thích",2,""))))))</x:f>
      </x:c>
      <x:c r="J100" s="64"/>
      <x:c r="K100" s="64"/>
      <x:c r="L100" s="64"/>
      <x:c r="M100" s="64" t="str">
        <x:f>IF(OR(I100="",K100="",L100=""),"",I100*IF(K100="0 - Chưa từng",0,IF(K100="1 - Ít trải nghiệm",1/3,IF(K100="2 - Có trải nghiệm",2/3,1)))*(L100/5))</x:f>
      </x:c>
      <x:c r="N100" s="131"/>
    </x:row>
    <x:row r="101">
      <x:c r="A101" s="117"/>
      <x:c r="B101" s="118"/>
      <x:c r="C101" s="64"/>
      <x:c r="D101" s="64"/>
      <x:c r="E101" s="64"/>
      <x:c r="F101" s="64" t="str">
        <x:f>IFERROR(VLOOKUP(E101,'Hành động chung'!$A$2:$D$98,2,FALSE),"")</x:f>
      </x:c>
      <x:c r="G101" s="64" t="str">
        <x:f>IFERROR(VLOOKUP(E101,'Hành động chung'!$A$2:$D$98,3,FALSE),"")</x:f>
      </x:c>
      <x:c r="H101" s="64"/>
      <x:c r="I101" s="118" t="str">
        <x:f>IF(H101="","",IF(H101="Rất không thích",-2,IF(H101="Không thích",-1,IF(H101="Bình thường",0,IF(H101="Thích",1,IF(H101="Rất thích",2,""))))))</x:f>
      </x:c>
      <x:c r="J101" s="64"/>
      <x:c r="K101" s="64"/>
      <x:c r="L101" s="64"/>
      <x:c r="M101" s="64" t="str">
        <x:f>IF(OR(I101="",K101="",L101=""),"",I101*IF(K101="0 - Chưa từng",0,IF(K101="1 - Ít trải nghiệm",1/3,IF(K101="2 - Có trải nghiệm",2/3,1)))*(L101/5))</x:f>
      </x:c>
      <x:c r="N101" s="131"/>
    </x:row>
    <x:row r="102">
      <x:c r="A102" s="117"/>
      <x:c r="B102" s="118"/>
      <x:c r="C102" s="64"/>
      <x:c r="D102" s="64"/>
      <x:c r="E102" s="64"/>
      <x:c r="F102" s="64" t="str">
        <x:f>IFERROR(VLOOKUP(E102,'Hành động chung'!$A$2:$D$98,2,FALSE),"")</x:f>
      </x:c>
      <x:c r="G102" s="64" t="str">
        <x:f>IFERROR(VLOOKUP(E102,'Hành động chung'!$A$2:$D$98,3,FALSE),"")</x:f>
      </x:c>
      <x:c r="H102" s="64"/>
      <x:c r="I102" s="118" t="str">
        <x:f>IF(H102="","",IF(H102="Rất không thích",-2,IF(H102="Không thích",-1,IF(H102="Bình thường",0,IF(H102="Thích",1,IF(H102="Rất thích",2,""))))))</x:f>
      </x:c>
      <x:c r="J102" s="64"/>
      <x:c r="K102" s="64"/>
      <x:c r="L102" s="64"/>
      <x:c r="M102" s="64" t="str">
        <x:f>IF(OR(I102="",K102="",L102=""),"",I102*IF(K102="0 - Chưa từng",0,IF(K102="1 - Ít trải nghiệm",1/3,IF(K102="2 - Có trải nghiệm",2/3,1)))*(L102/5))</x:f>
      </x:c>
      <x:c r="N102" s="131"/>
    </x:row>
    <x:row r="103">
      <x:c r="A103" s="117"/>
      <x:c r="B103" s="118"/>
      <x:c r="C103" s="64"/>
      <x:c r="D103" s="64"/>
      <x:c r="E103" s="64"/>
      <x:c r="F103" s="64" t="str">
        <x:f>IFERROR(VLOOKUP(E103,'Hành động chung'!$A$2:$D$98,2,FALSE),"")</x:f>
      </x:c>
      <x:c r="G103" s="64" t="str">
        <x:f>IFERROR(VLOOKUP(E103,'Hành động chung'!$A$2:$D$98,3,FALSE),"")</x:f>
      </x:c>
      <x:c r="H103" s="64"/>
      <x:c r="I103" s="118" t="str">
        <x:f>IF(H103="","",IF(H103="Rất không thích",-2,IF(H103="Không thích",-1,IF(H103="Bình thường",0,IF(H103="Thích",1,IF(H103="Rất thích",2,""))))))</x:f>
      </x:c>
      <x:c r="J103" s="64"/>
      <x:c r="K103" s="64"/>
      <x:c r="L103" s="64"/>
      <x:c r="M103" s="64" t="str">
        <x:f>IF(OR(I103="",K103="",L103=""),"",I103*IF(K103="0 - Chưa từng",0,IF(K103="1 - Ít trải nghiệm",1/3,IF(K103="2 - Có trải nghiệm",2/3,1)))*(L103/5))</x:f>
      </x:c>
      <x:c r="N103" s="131"/>
    </x:row>
    <x:row r="104">
      <x:c r="A104" s="117"/>
      <x:c r="B104" s="118"/>
      <x:c r="C104" s="64"/>
      <x:c r="D104" s="64"/>
      <x:c r="E104" s="64"/>
      <x:c r="F104" s="64" t="str">
        <x:f>IFERROR(VLOOKUP(E104,'Hành động chung'!$A$2:$D$98,2,FALSE),"")</x:f>
      </x:c>
      <x:c r="G104" s="64" t="str">
        <x:f>IFERROR(VLOOKUP(E104,'Hành động chung'!$A$2:$D$98,3,FALSE),"")</x:f>
      </x:c>
      <x:c r="H104" s="64"/>
      <x:c r="I104" s="118" t="str">
        <x:f>IF(H104="","",IF(H104="Rất không thích",-2,IF(H104="Không thích",-1,IF(H104="Bình thường",0,IF(H104="Thích",1,IF(H104="Rất thích",2,""))))))</x:f>
      </x:c>
      <x:c r="J104" s="64"/>
      <x:c r="K104" s="64"/>
      <x:c r="L104" s="64"/>
      <x:c r="M104" s="64" t="str">
        <x:f>IF(OR(I104="",K104="",L104=""),"",I104*IF(K104="0 - Chưa từng",0,IF(K104="1 - Ít trải nghiệm",1/3,IF(K104="2 - Có trải nghiệm",2/3,1)))*(L104/5))</x:f>
      </x:c>
      <x:c r="N104" s="131"/>
    </x:row>
    <x:row r="105">
      <x:c r="A105" s="117"/>
      <x:c r="B105" s="118"/>
      <x:c r="C105" s="64"/>
      <x:c r="D105" s="64"/>
      <x:c r="E105" s="64"/>
      <x:c r="F105" s="64" t="str">
        <x:f>IFERROR(VLOOKUP(E105,'Hành động chung'!$A$2:$D$98,2,FALSE),"")</x:f>
      </x:c>
      <x:c r="G105" s="64" t="str">
        <x:f>IFERROR(VLOOKUP(E105,'Hành động chung'!$A$2:$D$98,3,FALSE),"")</x:f>
      </x:c>
      <x:c r="H105" s="64"/>
      <x:c r="I105" s="118" t="str">
        <x:f>IF(H105="","",IF(H105="Rất không thích",-2,IF(H105="Không thích",-1,IF(H105="Bình thường",0,IF(H105="Thích",1,IF(H105="Rất thích",2,""))))))</x:f>
      </x:c>
      <x:c r="J105" s="64"/>
      <x:c r="K105" s="64"/>
      <x:c r="L105" s="64"/>
      <x:c r="M105" s="64" t="str">
        <x:f>IF(OR(I105="",K105="",L105=""),"",I105*IF(K105="0 - Chưa từng",0,IF(K105="1 - Ít trải nghiệm",1/3,IF(K105="2 - Có trải nghiệm",2/3,1)))*(L105/5))</x:f>
      </x:c>
      <x:c r="N105" s="131"/>
    </x:row>
    <x:row r="106">
      <x:c r="A106" s="117"/>
      <x:c r="B106" s="118"/>
      <x:c r="C106" s="64"/>
      <x:c r="D106" s="64"/>
      <x:c r="E106" s="64"/>
      <x:c r="F106" s="64" t="str">
        <x:f>IFERROR(VLOOKUP(E106,'Hành động chung'!$A$2:$D$98,2,FALSE),"")</x:f>
      </x:c>
      <x:c r="G106" s="64" t="str">
        <x:f>IFERROR(VLOOKUP(E106,'Hành động chung'!$A$2:$D$98,3,FALSE),"")</x:f>
      </x:c>
      <x:c r="H106" s="64"/>
      <x:c r="I106" s="118" t="str">
        <x:f>IF(H106="","",IF(H106="Rất không thích",-2,IF(H106="Không thích",-1,IF(H106="Bình thường",0,IF(H106="Thích",1,IF(H106="Rất thích",2,""))))))</x:f>
      </x:c>
      <x:c r="J106" s="64"/>
      <x:c r="K106" s="64"/>
      <x:c r="L106" s="64"/>
      <x:c r="M106" s="64" t="str">
        <x:f>IF(OR(I106="",K106="",L106=""),"",I106*IF(K106="0 - Chưa từng",0,IF(K106="1 - Ít trải nghiệm",1/3,IF(K106="2 - Có trải nghiệm",2/3,1)))*(L106/5))</x:f>
      </x:c>
      <x:c r="N106" s="131"/>
    </x:row>
    <x:row r="107">
      <x:c r="A107" s="117"/>
      <x:c r="B107" s="118"/>
      <x:c r="C107" s="64"/>
      <x:c r="D107" s="64"/>
      <x:c r="E107" s="64"/>
      <x:c r="F107" s="64" t="str">
        <x:f>IFERROR(VLOOKUP(E107,'Hành động chung'!$A$2:$D$98,2,FALSE),"")</x:f>
      </x:c>
      <x:c r="G107" s="64" t="str">
        <x:f>IFERROR(VLOOKUP(E107,'Hành động chung'!$A$2:$D$98,3,FALSE),"")</x:f>
      </x:c>
      <x:c r="H107" s="64"/>
      <x:c r="I107" s="118" t="str">
        <x:f>IF(H107="","",IF(H107="Rất không thích",-2,IF(H107="Không thích",-1,IF(H107="Bình thường",0,IF(H107="Thích",1,IF(H107="Rất thích",2,""))))))</x:f>
      </x:c>
      <x:c r="J107" s="64"/>
      <x:c r="K107" s="64"/>
      <x:c r="L107" s="64"/>
      <x:c r="M107" s="64" t="str">
        <x:f>IF(OR(I107="",K107="",L107=""),"",I107*IF(K107="0 - Chưa từng",0,IF(K107="1 - Ít trải nghiệm",1/3,IF(K107="2 - Có trải nghiệm",2/3,1)))*(L107/5))</x:f>
      </x:c>
      <x:c r="N107" s="131"/>
    </x:row>
    <x:row r="108">
      <x:c r="A108" s="117"/>
      <x:c r="B108" s="118"/>
      <x:c r="C108" s="64"/>
      <x:c r="D108" s="64"/>
      <x:c r="E108" s="64"/>
      <x:c r="F108" s="64" t="str">
        <x:f>IFERROR(VLOOKUP(E108,'Hành động chung'!$A$2:$D$98,2,FALSE),"")</x:f>
      </x:c>
      <x:c r="G108" s="64" t="str">
        <x:f>IFERROR(VLOOKUP(E108,'Hành động chung'!$A$2:$D$98,3,FALSE),"")</x:f>
      </x:c>
      <x:c r="H108" s="64"/>
      <x:c r="I108" s="118" t="str">
        <x:f>IF(H108="","",IF(H108="Rất không thích",-2,IF(H108="Không thích",-1,IF(H108="Bình thường",0,IF(H108="Thích",1,IF(H108="Rất thích",2,""))))))</x:f>
      </x:c>
      <x:c r="J108" s="64"/>
      <x:c r="K108" s="64"/>
      <x:c r="L108" s="64"/>
      <x:c r="M108" s="64" t="str">
        <x:f>IF(OR(I108="",K108="",L108=""),"",I108*IF(K108="0 - Chưa từng",0,IF(K108="1 - Ít trải nghiệm",1/3,IF(K108="2 - Có trải nghiệm",2/3,1)))*(L108/5))</x:f>
      </x:c>
      <x:c r="N108" s="131"/>
    </x:row>
    <x:row r="109">
      <x:c r="A109" s="117"/>
      <x:c r="B109" s="118"/>
      <x:c r="C109" s="64"/>
      <x:c r="D109" s="64"/>
      <x:c r="E109" s="64"/>
      <x:c r="F109" s="64" t="str">
        <x:f>IFERROR(VLOOKUP(E109,'Hành động chung'!$A$2:$D$98,2,FALSE),"")</x:f>
      </x:c>
      <x:c r="G109" s="64" t="str">
        <x:f>IFERROR(VLOOKUP(E109,'Hành động chung'!$A$2:$D$98,3,FALSE),"")</x:f>
      </x:c>
      <x:c r="H109" s="64"/>
      <x:c r="I109" s="118" t="str">
        <x:f>IF(H109="","",IF(H109="Rất không thích",-2,IF(H109="Không thích",-1,IF(H109="Bình thường",0,IF(H109="Thích",1,IF(H109="Rất thích",2,""))))))</x:f>
      </x:c>
      <x:c r="J109" s="64"/>
      <x:c r="K109" s="64"/>
      <x:c r="L109" s="64"/>
      <x:c r="M109" s="64" t="str">
        <x:f>IF(OR(I109="",K109="",L109=""),"",I109*IF(K109="0 - Chưa từng",0,IF(K109="1 - Ít trải nghiệm",1/3,IF(K109="2 - Có trải nghiệm",2/3,1)))*(L109/5))</x:f>
      </x:c>
      <x:c r="N109" s="131"/>
    </x:row>
    <x:row r="110">
      <x:c r="A110" s="117"/>
      <x:c r="B110" s="118"/>
      <x:c r="C110" s="64"/>
      <x:c r="D110" s="64"/>
      <x:c r="E110" s="64"/>
      <x:c r="F110" s="64" t="str">
        <x:f>IFERROR(VLOOKUP(E110,'Hành động chung'!$A$2:$D$98,2,FALSE),"")</x:f>
      </x:c>
      <x:c r="G110" s="64" t="str">
        <x:f>IFERROR(VLOOKUP(E110,'Hành động chung'!$A$2:$D$98,3,FALSE),"")</x:f>
      </x:c>
      <x:c r="H110" s="64"/>
      <x:c r="I110" s="118" t="str">
        <x:f>IF(H110="","",IF(H110="Rất không thích",-2,IF(H110="Không thích",-1,IF(H110="Bình thường",0,IF(H110="Thích",1,IF(H110="Rất thích",2,""))))))</x:f>
      </x:c>
      <x:c r="J110" s="64"/>
      <x:c r="K110" s="64"/>
      <x:c r="L110" s="64"/>
      <x:c r="M110" s="64" t="str">
        <x:f>IF(OR(I110="",K110="",L110=""),"",I110*IF(K110="0 - Chưa từng",0,IF(K110="1 - Ít trải nghiệm",1/3,IF(K110="2 - Có trải nghiệm",2/3,1)))*(L110/5))</x:f>
      </x:c>
      <x:c r="N110" s="131"/>
    </x:row>
    <x:row r="111">
      <x:c r="A111" s="117"/>
      <x:c r="B111" s="118"/>
      <x:c r="C111" s="64"/>
      <x:c r="D111" s="64"/>
      <x:c r="E111" s="64"/>
      <x:c r="F111" s="64" t="str">
        <x:f>IFERROR(VLOOKUP(E111,'Hành động chung'!$A$2:$D$98,2,FALSE),"")</x:f>
      </x:c>
      <x:c r="G111" s="64" t="str">
        <x:f>IFERROR(VLOOKUP(E111,'Hành động chung'!$A$2:$D$98,3,FALSE),"")</x:f>
      </x:c>
      <x:c r="H111" s="64"/>
      <x:c r="I111" s="118" t="str">
        <x:f>IF(H111="","",IF(H111="Rất không thích",-2,IF(H111="Không thích",-1,IF(H111="Bình thường",0,IF(H111="Thích",1,IF(H111="Rất thích",2,""))))))</x:f>
      </x:c>
      <x:c r="J111" s="64"/>
      <x:c r="K111" s="64"/>
      <x:c r="L111" s="64"/>
      <x:c r="M111" s="64" t="str">
        <x:f>IF(OR(I111="",K111="",L111=""),"",I111*IF(K111="0 - Chưa từng",0,IF(K111="1 - Ít trải nghiệm",1/3,IF(K111="2 - Có trải nghiệm",2/3,1)))*(L111/5))</x:f>
      </x:c>
      <x:c r="N111" s="131"/>
    </x:row>
    <x:row r="112">
      <x:c r="A112" s="117"/>
      <x:c r="B112" s="118"/>
      <x:c r="C112" s="64"/>
      <x:c r="D112" s="64"/>
      <x:c r="E112" s="64"/>
      <x:c r="F112" s="64" t="str">
        <x:f>IFERROR(VLOOKUP(E112,'Hành động chung'!$A$2:$D$98,2,FALSE),"")</x:f>
      </x:c>
      <x:c r="G112" s="64" t="str">
        <x:f>IFERROR(VLOOKUP(E112,'Hành động chung'!$A$2:$D$98,3,FALSE),"")</x:f>
      </x:c>
      <x:c r="H112" s="64"/>
      <x:c r="I112" s="118" t="str">
        <x:f>IF(H112="","",IF(H112="Rất không thích",-2,IF(H112="Không thích",-1,IF(H112="Bình thường",0,IF(H112="Thích",1,IF(H112="Rất thích",2,""))))))</x:f>
      </x:c>
      <x:c r="J112" s="64"/>
      <x:c r="K112" s="64"/>
      <x:c r="L112" s="64"/>
      <x:c r="M112" s="64" t="str">
        <x:f>IF(OR(I112="",K112="",L112=""),"",I112*IF(K112="0 - Chưa từng",0,IF(K112="1 - Ít trải nghiệm",1/3,IF(K112="2 - Có trải nghiệm",2/3,1)))*(L112/5))</x:f>
      </x:c>
      <x:c r="N112" s="131"/>
    </x:row>
    <x:row r="113">
      <x:c r="A113" s="117"/>
      <x:c r="B113" s="118"/>
      <x:c r="C113" s="64"/>
      <x:c r="D113" s="64"/>
      <x:c r="E113" s="64"/>
      <x:c r="F113" s="64" t="str">
        <x:f>IFERROR(VLOOKUP(E113,'Hành động chung'!$A$2:$D$98,2,FALSE),"")</x:f>
      </x:c>
      <x:c r="G113" s="64" t="str">
        <x:f>IFERROR(VLOOKUP(E113,'Hành động chung'!$A$2:$D$98,3,FALSE),"")</x:f>
      </x:c>
      <x:c r="H113" s="64"/>
      <x:c r="I113" s="118" t="str">
        <x:f>IF(H113="","",IF(H113="Rất không thích",-2,IF(H113="Không thích",-1,IF(H113="Bình thường",0,IF(H113="Thích",1,IF(H113="Rất thích",2,""))))))</x:f>
      </x:c>
      <x:c r="J113" s="64"/>
      <x:c r="K113" s="64"/>
      <x:c r="L113" s="64"/>
      <x:c r="M113" s="64" t="str">
        <x:f>IF(OR(I113="",K113="",L113=""),"",I113*IF(K113="0 - Chưa từng",0,IF(K113="1 - Ít trải nghiệm",1/3,IF(K113="2 - Có trải nghiệm",2/3,1)))*(L113/5))</x:f>
      </x:c>
      <x:c r="N113" s="131"/>
    </x:row>
    <x:row r="114">
      <x:c r="A114" s="117"/>
      <x:c r="B114" s="118"/>
      <x:c r="C114" s="64"/>
      <x:c r="D114" s="64"/>
      <x:c r="E114" s="64"/>
      <x:c r="F114" s="64" t="str">
        <x:f>IFERROR(VLOOKUP(E114,'Hành động chung'!$A$2:$D$98,2,FALSE),"")</x:f>
      </x:c>
      <x:c r="G114" s="64" t="str">
        <x:f>IFERROR(VLOOKUP(E114,'Hành động chung'!$A$2:$D$98,3,FALSE),"")</x:f>
      </x:c>
      <x:c r="H114" s="64"/>
      <x:c r="I114" s="118" t="str">
        <x:f>IF(H114="","",IF(H114="Rất không thích",-2,IF(H114="Không thích",-1,IF(H114="Bình thường",0,IF(H114="Thích",1,IF(H114="Rất thích",2,""))))))</x:f>
      </x:c>
      <x:c r="J114" s="64"/>
      <x:c r="K114" s="64"/>
      <x:c r="L114" s="64"/>
      <x:c r="M114" s="64" t="str">
        <x:f>IF(OR(I114="",K114="",L114=""),"",I114*IF(K114="0 - Chưa từng",0,IF(K114="1 - Ít trải nghiệm",1/3,IF(K114="2 - Có trải nghiệm",2/3,1)))*(L114/5))</x:f>
      </x:c>
      <x:c r="N114" s="131"/>
    </x:row>
    <x:row r="115">
      <x:c r="A115" s="117"/>
      <x:c r="B115" s="118"/>
      <x:c r="C115" s="64"/>
      <x:c r="D115" s="64"/>
      <x:c r="E115" s="64"/>
      <x:c r="F115" s="64" t="str">
        <x:f>IFERROR(VLOOKUP(E115,'Hành động chung'!$A$2:$D$98,2,FALSE),"")</x:f>
      </x:c>
      <x:c r="G115" s="64" t="str">
        <x:f>IFERROR(VLOOKUP(E115,'Hành động chung'!$A$2:$D$98,3,FALSE),"")</x:f>
      </x:c>
      <x:c r="H115" s="64"/>
      <x:c r="I115" s="118" t="str">
        <x:f>IF(H115="","",IF(H115="Rất không thích",-2,IF(H115="Không thích",-1,IF(H115="Bình thường",0,IF(H115="Thích",1,IF(H115="Rất thích",2,""))))))</x:f>
      </x:c>
      <x:c r="J115" s="64"/>
      <x:c r="K115" s="64"/>
      <x:c r="L115" s="64"/>
      <x:c r="M115" s="64" t="str">
        <x:f>IF(OR(I115="",K115="",L115=""),"",I115*IF(K115="0 - Chưa từng",0,IF(K115="1 - Ít trải nghiệm",1/3,IF(K115="2 - Có trải nghiệm",2/3,1)))*(L115/5))</x:f>
      </x:c>
      <x:c r="N115" s="131"/>
    </x:row>
    <x:row r="116">
      <x:c r="A116" s="117"/>
      <x:c r="B116" s="118"/>
      <x:c r="C116" s="64"/>
      <x:c r="D116" s="64"/>
      <x:c r="E116" s="64"/>
      <x:c r="F116" s="64" t="str">
        <x:f>IFERROR(VLOOKUP(E116,'Hành động chung'!$A$2:$D$98,2,FALSE),"")</x:f>
      </x:c>
      <x:c r="G116" s="64" t="str">
        <x:f>IFERROR(VLOOKUP(E116,'Hành động chung'!$A$2:$D$98,3,FALSE),"")</x:f>
      </x:c>
      <x:c r="H116" s="64"/>
      <x:c r="I116" s="118" t="str">
        <x:f>IF(H116="","",IF(H116="Rất không thích",-2,IF(H116="Không thích",-1,IF(H116="Bình thường",0,IF(H116="Thích",1,IF(H116="Rất thích",2,""))))))</x:f>
      </x:c>
      <x:c r="J116" s="64"/>
      <x:c r="K116" s="64"/>
      <x:c r="L116" s="64"/>
      <x:c r="M116" s="64" t="str">
        <x:f>IF(OR(I116="",K116="",L116=""),"",I116*IF(K116="0 - Chưa từng",0,IF(K116="1 - Ít trải nghiệm",1/3,IF(K116="2 - Có trải nghiệm",2/3,1)))*(L116/5))</x:f>
      </x:c>
      <x:c r="N116" s="131"/>
    </x:row>
    <x:row r="117">
      <x:c r="A117" s="117"/>
      <x:c r="B117" s="118"/>
      <x:c r="C117" s="64"/>
      <x:c r="D117" s="64"/>
      <x:c r="E117" s="64"/>
      <x:c r="F117" s="64" t="str">
        <x:f>IFERROR(VLOOKUP(E117,'Hành động chung'!$A$2:$D$98,2,FALSE),"")</x:f>
      </x:c>
      <x:c r="G117" s="64" t="str">
        <x:f>IFERROR(VLOOKUP(E117,'Hành động chung'!$A$2:$D$98,3,FALSE),"")</x:f>
      </x:c>
      <x:c r="H117" s="64"/>
      <x:c r="I117" s="118" t="str">
        <x:f>IF(H117="","",IF(H117="Rất không thích",-2,IF(H117="Không thích",-1,IF(H117="Bình thường",0,IF(H117="Thích",1,IF(H117="Rất thích",2,""))))))</x:f>
      </x:c>
      <x:c r="J117" s="64"/>
      <x:c r="K117" s="64"/>
      <x:c r="L117" s="64"/>
      <x:c r="M117" s="64" t="str">
        <x:f>IF(OR(I117="",K117="",L117=""),"",I117*IF(K117="0 - Chưa từng",0,IF(K117="1 - Ít trải nghiệm",1/3,IF(K117="2 - Có trải nghiệm",2/3,1)))*(L117/5))</x:f>
      </x:c>
      <x:c r="N117" s="131"/>
    </x:row>
    <x:row r="118">
      <x:c r="A118" s="117"/>
      <x:c r="B118" s="118"/>
      <x:c r="C118" s="64"/>
      <x:c r="D118" s="64"/>
      <x:c r="E118" s="64"/>
      <x:c r="F118" s="64" t="str">
        <x:f>IFERROR(VLOOKUP(E118,'Hành động chung'!$A$2:$D$98,2,FALSE),"")</x:f>
      </x:c>
      <x:c r="G118" s="64" t="str">
        <x:f>IFERROR(VLOOKUP(E118,'Hành động chung'!$A$2:$D$98,3,FALSE),"")</x:f>
      </x:c>
      <x:c r="H118" s="64"/>
      <x:c r="I118" s="118" t="str">
        <x:f>IF(H118="","",IF(H118="Rất không thích",-2,IF(H118="Không thích",-1,IF(H118="Bình thường",0,IF(H118="Thích",1,IF(H118="Rất thích",2,""))))))</x:f>
      </x:c>
      <x:c r="J118" s="64"/>
      <x:c r="K118" s="64"/>
      <x:c r="L118" s="64"/>
      <x:c r="M118" s="64" t="str">
        <x:f>IF(OR(I118="",K118="",L118=""),"",I118*IF(K118="0 - Chưa từng",0,IF(K118="1 - Ít trải nghiệm",1/3,IF(K118="2 - Có trải nghiệm",2/3,1)))*(L118/5))</x:f>
      </x:c>
      <x:c r="N118" s="131"/>
    </x:row>
    <x:row r="119">
      <x:c r="A119" s="117"/>
      <x:c r="B119" s="118"/>
      <x:c r="C119" s="64"/>
      <x:c r="D119" s="64"/>
      <x:c r="E119" s="64"/>
      <x:c r="F119" s="64" t="str">
        <x:f>IFERROR(VLOOKUP(E119,'Hành động chung'!$A$2:$D$98,2,FALSE),"")</x:f>
      </x:c>
      <x:c r="G119" s="64" t="str">
        <x:f>IFERROR(VLOOKUP(E119,'Hành động chung'!$A$2:$D$98,3,FALSE),"")</x:f>
      </x:c>
      <x:c r="H119" s="64"/>
      <x:c r="I119" s="118" t="str">
        <x:f>IF(H119="","",IF(H119="Rất không thích",-2,IF(H119="Không thích",-1,IF(H119="Bình thường",0,IF(H119="Thích",1,IF(H119="Rất thích",2,""))))))</x:f>
      </x:c>
      <x:c r="J119" s="64"/>
      <x:c r="K119" s="64"/>
      <x:c r="L119" s="64"/>
      <x:c r="M119" s="64" t="str">
        <x:f>IF(OR(I119="",K119="",L119=""),"",I119*IF(K119="0 - Chưa từng",0,IF(K119="1 - Ít trải nghiệm",1/3,IF(K119="2 - Có trải nghiệm",2/3,1)))*(L119/5))</x:f>
      </x:c>
      <x:c r="N119" s="131"/>
    </x:row>
    <x:row r="120">
      <x:c r="A120" s="117"/>
      <x:c r="B120" s="118"/>
      <x:c r="C120" s="64"/>
      <x:c r="D120" s="64"/>
      <x:c r="E120" s="64"/>
      <x:c r="F120" s="64" t="str">
        <x:f>IFERROR(VLOOKUP(E120,'Hành động chung'!$A$2:$D$98,2,FALSE),"")</x:f>
      </x:c>
      <x:c r="G120" s="64" t="str">
        <x:f>IFERROR(VLOOKUP(E120,'Hành động chung'!$A$2:$D$98,3,FALSE),"")</x:f>
      </x:c>
      <x:c r="H120" s="64"/>
      <x:c r="I120" s="118" t="str">
        <x:f>IF(H120="","",IF(H120="Rất không thích",-2,IF(H120="Không thích",-1,IF(H120="Bình thường",0,IF(H120="Thích",1,IF(H120="Rất thích",2,""))))))</x:f>
      </x:c>
      <x:c r="J120" s="64"/>
      <x:c r="K120" s="64"/>
      <x:c r="L120" s="64"/>
      <x:c r="M120" s="64" t="str">
        <x:f>IF(OR(I120="",K120="",L120=""),"",I120*IF(K120="0 - Chưa từng",0,IF(K120="1 - Ít trải nghiệm",1/3,IF(K120="2 - Có trải nghiệm",2/3,1)))*(L120/5))</x:f>
      </x:c>
      <x:c r="N120" s="131"/>
    </x:row>
    <x:row r="121">
      <x:c r="A121" s="117"/>
      <x:c r="B121" s="118"/>
      <x:c r="C121" s="64"/>
      <x:c r="D121" s="64"/>
      <x:c r="E121" s="64"/>
      <x:c r="F121" s="64" t="str">
        <x:f>IFERROR(VLOOKUP(E121,'Hành động chung'!$A$2:$D$98,2,FALSE),"")</x:f>
      </x:c>
      <x:c r="G121" s="64" t="str">
        <x:f>IFERROR(VLOOKUP(E121,'Hành động chung'!$A$2:$D$98,3,FALSE),"")</x:f>
      </x:c>
      <x:c r="H121" s="64"/>
      <x:c r="I121" s="118" t="str">
        <x:f>IF(H121="","",IF(H121="Rất không thích",-2,IF(H121="Không thích",-1,IF(H121="Bình thường",0,IF(H121="Thích",1,IF(H121="Rất thích",2,""))))))</x:f>
      </x:c>
      <x:c r="J121" s="64"/>
      <x:c r="K121" s="64"/>
      <x:c r="L121" s="64"/>
      <x:c r="M121" s="64" t="str">
        <x:f>IF(OR(I121="",K121="",L121=""),"",I121*IF(K121="0 - Chưa từng",0,IF(K121="1 - Ít trải nghiệm",1/3,IF(K121="2 - Có trải nghiệm",2/3,1)))*(L121/5))</x:f>
      </x:c>
      <x:c r="N121" s="131"/>
    </x:row>
    <x:row r="122">
      <x:c r="A122" s="117"/>
      <x:c r="B122" s="118"/>
      <x:c r="C122" s="64"/>
      <x:c r="D122" s="64"/>
      <x:c r="E122" s="64"/>
      <x:c r="F122" s="64" t="str">
        <x:f>IFERROR(VLOOKUP(E122,'Hành động chung'!$A$2:$D$98,2,FALSE),"")</x:f>
      </x:c>
      <x:c r="G122" s="64" t="str">
        <x:f>IFERROR(VLOOKUP(E122,'Hành động chung'!$A$2:$D$98,3,FALSE),"")</x:f>
      </x:c>
      <x:c r="H122" s="64"/>
      <x:c r="I122" s="118" t="str">
        <x:f>IF(H122="","",IF(H122="Rất không thích",-2,IF(H122="Không thích",-1,IF(H122="Bình thường",0,IF(H122="Thích",1,IF(H122="Rất thích",2,""))))))</x:f>
      </x:c>
      <x:c r="J122" s="64"/>
      <x:c r="K122" s="64"/>
      <x:c r="L122" s="64"/>
      <x:c r="M122" s="64" t="str">
        <x:f>IF(OR(I122="",K122="",L122=""),"",I122*IF(K122="0 - Chưa từng",0,IF(K122="1 - Ít trải nghiệm",1/3,IF(K122="2 - Có trải nghiệm",2/3,1)))*(L122/5))</x:f>
      </x:c>
      <x:c r="N122" s="131"/>
    </x:row>
    <x:row r="123">
      <x:c r="A123" s="117"/>
      <x:c r="B123" s="118"/>
      <x:c r="C123" s="64"/>
      <x:c r="D123" s="64"/>
      <x:c r="E123" s="64"/>
      <x:c r="F123" s="64" t="str">
        <x:f>IFERROR(VLOOKUP(E123,'Hành động chung'!$A$2:$D$98,2,FALSE),"")</x:f>
      </x:c>
      <x:c r="G123" s="64" t="str">
        <x:f>IFERROR(VLOOKUP(E123,'Hành động chung'!$A$2:$D$98,3,FALSE),"")</x:f>
      </x:c>
      <x:c r="H123" s="64"/>
      <x:c r="I123" s="118" t="str">
        <x:f>IF(H123="","",IF(H123="Rất không thích",-2,IF(H123="Không thích",-1,IF(H123="Bình thường",0,IF(H123="Thích",1,IF(H123="Rất thích",2,""))))))</x:f>
      </x:c>
      <x:c r="J123" s="64"/>
      <x:c r="K123" s="64"/>
      <x:c r="L123" s="64"/>
      <x:c r="M123" s="64" t="str">
        <x:f>IF(OR(I123="",K123="",L123=""),"",I123*IF(K123="0 - Chưa từng",0,IF(K123="1 - Ít trải nghiệm",1/3,IF(K123="2 - Có trải nghiệm",2/3,1)))*(L123/5))</x:f>
      </x:c>
      <x:c r="N123" s="131"/>
    </x:row>
    <x:row r="124">
      <x:c r="A124" s="117"/>
      <x:c r="B124" s="118"/>
      <x:c r="C124" s="64"/>
      <x:c r="D124" s="64"/>
      <x:c r="E124" s="64"/>
      <x:c r="F124" s="64" t="str">
        <x:f>IFERROR(VLOOKUP(E124,'Hành động chung'!$A$2:$D$98,2,FALSE),"")</x:f>
      </x:c>
      <x:c r="G124" s="64" t="str">
        <x:f>IFERROR(VLOOKUP(E124,'Hành động chung'!$A$2:$D$98,3,FALSE),"")</x:f>
      </x:c>
      <x:c r="H124" s="64"/>
      <x:c r="I124" s="118" t="str">
        <x:f>IF(H124="","",IF(H124="Rất không thích",-2,IF(H124="Không thích",-1,IF(H124="Bình thường",0,IF(H124="Thích",1,IF(H124="Rất thích",2,""))))))</x:f>
      </x:c>
      <x:c r="J124" s="64"/>
      <x:c r="K124" s="64"/>
      <x:c r="L124" s="64"/>
      <x:c r="M124" s="64" t="str">
        <x:f>IF(OR(I124="",K124="",L124=""),"",I124*IF(K124="0 - Chưa từng",0,IF(K124="1 - Ít trải nghiệm",1/3,IF(K124="2 - Có trải nghiệm",2/3,1)))*(L124/5))</x:f>
      </x:c>
      <x:c r="N124" s="131"/>
    </x:row>
    <x:row r="125">
      <x:c r="A125" s="117"/>
      <x:c r="B125" s="118"/>
      <x:c r="C125" s="64"/>
      <x:c r="D125" s="64"/>
      <x:c r="E125" s="64"/>
      <x:c r="F125" s="64" t="str">
        <x:f>IFERROR(VLOOKUP(E125,'Hành động chung'!$A$2:$D$98,2,FALSE),"")</x:f>
      </x:c>
      <x:c r="G125" s="64" t="str">
        <x:f>IFERROR(VLOOKUP(E125,'Hành động chung'!$A$2:$D$98,3,FALSE),"")</x:f>
      </x:c>
      <x:c r="H125" s="64"/>
      <x:c r="I125" s="118" t="str">
        <x:f>IF(H125="","",IF(H125="Rất không thích",-2,IF(H125="Không thích",-1,IF(H125="Bình thường",0,IF(H125="Thích",1,IF(H125="Rất thích",2,""))))))</x:f>
      </x:c>
      <x:c r="J125" s="64"/>
      <x:c r="K125" s="64"/>
      <x:c r="L125" s="64"/>
      <x:c r="M125" s="64" t="str">
        <x:f>IF(OR(I125="",K125="",L125=""),"",I125*IF(K125="0 - Chưa từng",0,IF(K125="1 - Ít trải nghiệm",1/3,IF(K125="2 - Có trải nghiệm",2/3,1)))*(L125/5))</x:f>
      </x:c>
      <x:c r="N125" s="131"/>
    </x:row>
    <x:row r="126">
      <x:c r="A126" s="117"/>
      <x:c r="B126" s="118"/>
      <x:c r="C126" s="64"/>
      <x:c r="D126" s="64"/>
      <x:c r="E126" s="64"/>
      <x:c r="F126" s="64" t="str">
        <x:f>IFERROR(VLOOKUP(E126,'Hành động chung'!$A$2:$D$98,2,FALSE),"")</x:f>
      </x:c>
      <x:c r="G126" s="64" t="str">
        <x:f>IFERROR(VLOOKUP(E126,'Hành động chung'!$A$2:$D$98,3,FALSE),"")</x:f>
      </x:c>
      <x:c r="H126" s="64"/>
      <x:c r="I126" s="118" t="str">
        <x:f>IF(H126="","",IF(H126="Rất không thích",-2,IF(H126="Không thích",-1,IF(H126="Bình thường",0,IF(H126="Thích",1,IF(H126="Rất thích",2,""))))))</x:f>
      </x:c>
      <x:c r="J126" s="64"/>
      <x:c r="K126" s="64"/>
      <x:c r="L126" s="64"/>
      <x:c r="M126" s="64" t="str">
        <x:f>IF(OR(I126="",K126="",L126=""),"",I126*IF(K126="0 - Chưa từng",0,IF(K126="1 - Ít trải nghiệm",1/3,IF(K126="2 - Có trải nghiệm",2/3,1)))*(L126/5))</x:f>
      </x:c>
      <x:c r="N126" s="131"/>
    </x:row>
    <x:row r="127">
      <x:c r="A127" s="117"/>
      <x:c r="B127" s="118"/>
      <x:c r="C127" s="64"/>
      <x:c r="D127" s="64"/>
      <x:c r="E127" s="64"/>
      <x:c r="F127" s="64" t="str">
        <x:f>IFERROR(VLOOKUP(E127,'Hành động chung'!$A$2:$D$98,2,FALSE),"")</x:f>
      </x:c>
      <x:c r="G127" s="64" t="str">
        <x:f>IFERROR(VLOOKUP(E127,'Hành động chung'!$A$2:$D$98,3,FALSE),"")</x:f>
      </x:c>
      <x:c r="H127" s="64"/>
      <x:c r="I127" s="118" t="str">
        <x:f>IF(H127="","",IF(H127="Rất không thích",-2,IF(H127="Không thích",-1,IF(H127="Bình thường",0,IF(H127="Thích",1,IF(H127="Rất thích",2,""))))))</x:f>
      </x:c>
      <x:c r="J127" s="64"/>
      <x:c r="K127" s="64"/>
      <x:c r="L127" s="64"/>
      <x:c r="M127" s="64" t="str">
        <x:f>IF(OR(I127="",K127="",L127=""),"",I127*IF(K127="0 - Chưa từng",0,IF(K127="1 - Ít trải nghiệm",1/3,IF(K127="2 - Có trải nghiệm",2/3,1)))*(L127/5))</x:f>
      </x:c>
      <x:c r="N127" s="131"/>
    </x:row>
    <x:row r="128">
      <x:c r="A128" s="117"/>
      <x:c r="B128" s="118"/>
      <x:c r="C128" s="64"/>
      <x:c r="D128" s="64"/>
      <x:c r="E128" s="64"/>
      <x:c r="F128" s="64" t="str">
        <x:f>IFERROR(VLOOKUP(E128,'Hành động chung'!$A$2:$D$98,2,FALSE),"")</x:f>
      </x:c>
      <x:c r="G128" s="64" t="str">
        <x:f>IFERROR(VLOOKUP(E128,'Hành động chung'!$A$2:$D$98,3,FALSE),"")</x:f>
      </x:c>
      <x:c r="H128" s="64"/>
      <x:c r="I128" s="118" t="str">
        <x:f>IF(H128="","",IF(H128="Rất không thích",-2,IF(H128="Không thích",-1,IF(H128="Bình thường",0,IF(H128="Thích",1,IF(H128="Rất thích",2,""))))))</x:f>
      </x:c>
      <x:c r="J128" s="64"/>
      <x:c r="K128" s="64"/>
      <x:c r="L128" s="64"/>
      <x:c r="M128" s="64" t="str">
        <x:f>IF(OR(I128="",K128="",L128=""),"",I128*IF(K128="0 - Chưa từng",0,IF(K128="1 - Ít trải nghiệm",1/3,IF(K128="2 - Có trải nghiệm",2/3,1)))*(L128/5))</x:f>
      </x:c>
      <x:c r="N128" s="131"/>
    </x:row>
    <x:row r="129">
      <x:c r="A129" s="117"/>
      <x:c r="B129" s="118"/>
      <x:c r="C129" s="64"/>
      <x:c r="D129" s="64"/>
      <x:c r="E129" s="64"/>
      <x:c r="F129" s="64" t="str">
        <x:f>IFERROR(VLOOKUP(E129,'Hành động chung'!$A$2:$D$98,2,FALSE),"")</x:f>
      </x:c>
      <x:c r="G129" s="64" t="str">
        <x:f>IFERROR(VLOOKUP(E129,'Hành động chung'!$A$2:$D$98,3,FALSE),"")</x:f>
      </x:c>
      <x:c r="H129" s="64"/>
      <x:c r="I129" s="118" t="str">
        <x:f>IF(H129="","",IF(H129="Rất không thích",-2,IF(H129="Không thích",-1,IF(H129="Bình thường",0,IF(H129="Thích",1,IF(H129="Rất thích",2,""))))))</x:f>
      </x:c>
      <x:c r="J129" s="64"/>
      <x:c r="K129" s="64"/>
      <x:c r="L129" s="64"/>
      <x:c r="M129" s="64" t="str">
        <x:f>IF(OR(I129="",K129="",L129=""),"",I129*IF(K129="0 - Chưa từng",0,IF(K129="1 - Ít trải nghiệm",1/3,IF(K129="2 - Có trải nghiệm",2/3,1)))*(L129/5))</x:f>
      </x:c>
      <x:c r="N129" s="131"/>
    </x:row>
    <x:row r="130">
      <x:c r="A130" s="117"/>
      <x:c r="B130" s="118"/>
      <x:c r="C130" s="64"/>
      <x:c r="D130" s="64"/>
      <x:c r="E130" s="64"/>
      <x:c r="F130" s="64" t="str">
        <x:f>IFERROR(VLOOKUP(E130,'Hành động chung'!$A$2:$D$98,2,FALSE),"")</x:f>
      </x:c>
      <x:c r="G130" s="64" t="str">
        <x:f>IFERROR(VLOOKUP(E130,'Hành động chung'!$A$2:$D$98,3,FALSE),"")</x:f>
      </x:c>
      <x:c r="H130" s="64"/>
      <x:c r="I130" s="118" t="str">
        <x:f>IF(H130="","",IF(H130="Rất không thích",-2,IF(H130="Không thích",-1,IF(H130="Bình thường",0,IF(H130="Thích",1,IF(H130="Rất thích",2,""))))))</x:f>
      </x:c>
      <x:c r="J130" s="64"/>
      <x:c r="K130" s="64"/>
      <x:c r="L130" s="64"/>
      <x:c r="M130" s="64" t="str">
        <x:f>IF(OR(I130="",K130="",L130=""),"",I130*IF(K130="0 - Chưa từng",0,IF(K130="1 - Ít trải nghiệm",1/3,IF(K130="2 - Có trải nghiệm",2/3,1)))*(L130/5))</x:f>
      </x:c>
      <x:c r="N130" s="131"/>
    </x:row>
    <x:row r="131">
      <x:c r="A131" s="117"/>
      <x:c r="B131" s="118"/>
      <x:c r="C131" s="64"/>
      <x:c r="D131" s="64"/>
      <x:c r="E131" s="64"/>
      <x:c r="F131" s="64" t="str">
        <x:f>IFERROR(VLOOKUP(E131,'Hành động chung'!$A$2:$D$98,2,FALSE),"")</x:f>
      </x:c>
      <x:c r="G131" s="64" t="str">
        <x:f>IFERROR(VLOOKUP(E131,'Hành động chung'!$A$2:$D$98,3,FALSE),"")</x:f>
      </x:c>
      <x:c r="H131" s="64"/>
      <x:c r="I131" s="118" t="str">
        <x:f>IF(H131="","",IF(H131="Rất không thích",-2,IF(H131="Không thích",-1,IF(H131="Bình thường",0,IF(H131="Thích",1,IF(H131="Rất thích",2,""))))))</x:f>
      </x:c>
      <x:c r="J131" s="64"/>
      <x:c r="K131" s="64"/>
      <x:c r="L131" s="64"/>
      <x:c r="M131" s="64" t="str">
        <x:f>IF(OR(I131="",K131="",L131=""),"",I131*IF(K131="0 - Chưa từng",0,IF(K131="1 - Ít trải nghiệm",1/3,IF(K131="2 - Có trải nghiệm",2/3,1)))*(L131/5))</x:f>
      </x:c>
      <x:c r="N131" s="131"/>
    </x:row>
    <x:row r="132">
      <x:c r="A132" s="117"/>
      <x:c r="B132" s="118"/>
      <x:c r="C132" s="64"/>
      <x:c r="D132" s="64"/>
      <x:c r="E132" s="64"/>
      <x:c r="F132" s="64" t="str">
        <x:f>IFERROR(VLOOKUP(E132,'Hành động chung'!$A$2:$D$98,2,FALSE),"")</x:f>
      </x:c>
      <x:c r="G132" s="64" t="str">
        <x:f>IFERROR(VLOOKUP(E132,'Hành động chung'!$A$2:$D$98,3,FALSE),"")</x:f>
      </x:c>
      <x:c r="H132" s="64"/>
      <x:c r="I132" s="118" t="str">
        <x:f>IF(H132="","",IF(H132="Rất không thích",-2,IF(H132="Không thích",-1,IF(H132="Bình thường",0,IF(H132="Thích",1,IF(H132="Rất thích",2,""))))))</x:f>
      </x:c>
      <x:c r="J132" s="64"/>
      <x:c r="K132" s="64"/>
      <x:c r="L132" s="64"/>
      <x:c r="M132" s="64" t="str">
        <x:f>IF(OR(I132="",K132="",L132=""),"",I132*IF(K132="0 - Chưa từng",0,IF(K132="1 - Ít trải nghiệm",1/3,IF(K132="2 - Có trải nghiệm",2/3,1)))*(L132/5))</x:f>
      </x:c>
      <x:c r="N132" s="131"/>
    </x:row>
    <x:row r="133">
      <x:c r="A133" s="117"/>
      <x:c r="B133" s="118"/>
      <x:c r="C133" s="64"/>
      <x:c r="D133" s="64"/>
      <x:c r="E133" s="64"/>
      <x:c r="F133" s="64" t="str">
        <x:f>IFERROR(VLOOKUP(E133,'Hành động chung'!$A$2:$D$98,2,FALSE),"")</x:f>
      </x:c>
      <x:c r="G133" s="64" t="str">
        <x:f>IFERROR(VLOOKUP(E133,'Hành động chung'!$A$2:$D$98,3,FALSE),"")</x:f>
      </x:c>
      <x:c r="H133" s="64"/>
      <x:c r="I133" s="118" t="str">
        <x:f>IF(H133="","",IF(H133="Rất không thích",-2,IF(H133="Không thích",-1,IF(H133="Bình thường",0,IF(H133="Thích",1,IF(H133="Rất thích",2,""))))))</x:f>
      </x:c>
      <x:c r="J133" s="64"/>
      <x:c r="K133" s="64"/>
      <x:c r="L133" s="64"/>
      <x:c r="M133" s="64" t="str">
        <x:f>IF(OR(I133="",K133="",L133=""),"",I133*IF(K133="0 - Chưa từng",0,IF(K133="1 - Ít trải nghiệm",1/3,IF(K133="2 - Có trải nghiệm",2/3,1)))*(L133/5))</x:f>
      </x:c>
      <x:c r="N133" s="131"/>
    </x:row>
    <x:row r="134">
      <x:c r="A134" s="117"/>
      <x:c r="B134" s="118"/>
      <x:c r="C134" s="64"/>
      <x:c r="D134" s="64"/>
      <x:c r="E134" s="64"/>
      <x:c r="F134" s="64" t="str">
        <x:f>IFERROR(VLOOKUP(E134,'Hành động chung'!$A$2:$D$98,2,FALSE),"")</x:f>
      </x:c>
      <x:c r="G134" s="64" t="str">
        <x:f>IFERROR(VLOOKUP(E134,'Hành động chung'!$A$2:$D$98,3,FALSE),"")</x:f>
      </x:c>
      <x:c r="H134" s="64"/>
      <x:c r="I134" s="118" t="str">
        <x:f>IF(H134="","",IF(H134="Rất không thích",-2,IF(H134="Không thích",-1,IF(H134="Bình thường",0,IF(H134="Thích",1,IF(H134="Rất thích",2,""))))))</x:f>
      </x:c>
      <x:c r="J134" s="64"/>
      <x:c r="K134" s="64"/>
      <x:c r="L134" s="64"/>
      <x:c r="M134" s="64" t="str">
        <x:f>IF(OR(I134="",K134="",L134=""),"",I134*IF(K134="0 - Chưa từng",0,IF(K134="1 - Ít trải nghiệm",1/3,IF(K134="2 - Có trải nghiệm",2/3,1)))*(L134/5))</x:f>
      </x:c>
      <x:c r="N134" s="131"/>
    </x:row>
    <x:row r="135">
      <x:c r="A135" s="117"/>
      <x:c r="B135" s="118"/>
      <x:c r="C135" s="64"/>
      <x:c r="D135" s="64"/>
      <x:c r="E135" s="64"/>
      <x:c r="F135" s="64" t="str">
        <x:f>IFERROR(VLOOKUP(E135,'Hành động chung'!$A$2:$D$98,2,FALSE),"")</x:f>
      </x:c>
      <x:c r="G135" s="64" t="str">
        <x:f>IFERROR(VLOOKUP(E135,'Hành động chung'!$A$2:$D$98,3,FALSE),"")</x:f>
      </x:c>
      <x:c r="H135" s="64"/>
      <x:c r="I135" s="118" t="str">
        <x:f>IF(H135="","",IF(H135="Rất không thích",-2,IF(H135="Không thích",-1,IF(H135="Bình thường",0,IF(H135="Thích",1,IF(H135="Rất thích",2,""))))))</x:f>
      </x:c>
      <x:c r="J135" s="64"/>
      <x:c r="K135" s="64"/>
      <x:c r="L135" s="64"/>
      <x:c r="M135" s="64" t="str">
        <x:f>IF(OR(I135="",K135="",L135=""),"",I135*IF(K135="0 - Chưa từng",0,IF(K135="1 - Ít trải nghiệm",1/3,IF(K135="2 - Có trải nghiệm",2/3,1)))*(L135/5))</x:f>
      </x:c>
      <x:c r="N135" s="131"/>
    </x:row>
    <x:row r="136">
      <x:c r="A136" s="117"/>
      <x:c r="B136" s="118"/>
      <x:c r="C136" s="64"/>
      <x:c r="D136" s="64"/>
      <x:c r="E136" s="64"/>
      <x:c r="F136" s="64" t="str">
        <x:f>IFERROR(VLOOKUP(E136,'Hành động chung'!$A$2:$D$98,2,FALSE),"")</x:f>
      </x:c>
      <x:c r="G136" s="64" t="str">
        <x:f>IFERROR(VLOOKUP(E136,'Hành động chung'!$A$2:$D$98,3,FALSE),"")</x:f>
      </x:c>
      <x:c r="H136" s="64"/>
      <x:c r="I136" s="118" t="str">
        <x:f>IF(H136="","",IF(H136="Rất không thích",-2,IF(H136="Không thích",-1,IF(H136="Bình thường",0,IF(H136="Thích",1,IF(H136="Rất thích",2,""))))))</x:f>
      </x:c>
      <x:c r="J136" s="64"/>
      <x:c r="K136" s="64"/>
      <x:c r="L136" s="64"/>
      <x:c r="M136" s="64" t="str">
        <x:f>IF(OR(I136="",K136="",L136=""),"",I136*IF(K136="0 - Chưa từng",0,IF(K136="1 - Ít trải nghiệm",1/3,IF(K136="2 - Có trải nghiệm",2/3,1)))*(L136/5))</x:f>
      </x:c>
      <x:c r="N136" s="131"/>
    </x:row>
    <x:row r="137">
      <x:c r="A137" s="117"/>
      <x:c r="B137" s="118"/>
      <x:c r="C137" s="64"/>
      <x:c r="D137" s="64"/>
      <x:c r="E137" s="64"/>
      <x:c r="F137" s="64" t="str">
        <x:f>IFERROR(VLOOKUP(E137,'Hành động chung'!$A$2:$D$98,2,FALSE),"")</x:f>
      </x:c>
      <x:c r="G137" s="64" t="str">
        <x:f>IFERROR(VLOOKUP(E137,'Hành động chung'!$A$2:$D$98,3,FALSE),"")</x:f>
      </x:c>
      <x:c r="H137" s="64"/>
      <x:c r="I137" s="118" t="str">
        <x:f>IF(H137="","",IF(H137="Rất không thích",-2,IF(H137="Không thích",-1,IF(H137="Bình thường",0,IF(H137="Thích",1,IF(H137="Rất thích",2,""))))))</x:f>
      </x:c>
      <x:c r="J137" s="64"/>
      <x:c r="K137" s="64"/>
      <x:c r="L137" s="64"/>
      <x:c r="M137" s="64" t="str">
        <x:f>IF(OR(I137="",K137="",L137=""),"",I137*IF(K137="0 - Chưa từng",0,IF(K137="1 - Ít trải nghiệm",1/3,IF(K137="2 - Có trải nghiệm",2/3,1)))*(L137/5))</x:f>
      </x:c>
      <x:c r="N137" s="131"/>
    </x:row>
    <x:row r="138">
      <x:c r="A138" s="117"/>
      <x:c r="B138" s="118"/>
      <x:c r="C138" s="64"/>
      <x:c r="D138" s="64"/>
      <x:c r="E138" s="64"/>
      <x:c r="F138" s="64" t="str">
        <x:f>IFERROR(VLOOKUP(E138,'Hành động chung'!$A$2:$D$98,2,FALSE),"")</x:f>
      </x:c>
      <x:c r="G138" s="64" t="str">
        <x:f>IFERROR(VLOOKUP(E138,'Hành động chung'!$A$2:$D$98,3,FALSE),"")</x:f>
      </x:c>
      <x:c r="H138" s="64"/>
      <x:c r="I138" s="118" t="str">
        <x:f>IF(H138="","",IF(H138="Rất không thích",-2,IF(H138="Không thích",-1,IF(H138="Bình thường",0,IF(H138="Thích",1,IF(H138="Rất thích",2,""))))))</x:f>
      </x:c>
      <x:c r="J138" s="64"/>
      <x:c r="K138" s="64"/>
      <x:c r="L138" s="64"/>
      <x:c r="M138" s="64" t="str">
        <x:f>IF(OR(I138="",K138="",L138=""),"",I138*IF(K138="0 - Chưa từng",0,IF(K138="1 - Ít trải nghiệm",1/3,IF(K138="2 - Có trải nghiệm",2/3,1)))*(L138/5))</x:f>
      </x:c>
      <x:c r="N138" s="131"/>
    </x:row>
    <x:row r="139">
      <x:c r="A139" s="117"/>
      <x:c r="B139" s="118"/>
      <x:c r="C139" s="64"/>
      <x:c r="D139" s="64"/>
      <x:c r="E139" s="64"/>
      <x:c r="F139" s="64" t="str">
        <x:f>IFERROR(VLOOKUP(E139,'Hành động chung'!$A$2:$D$98,2,FALSE),"")</x:f>
      </x:c>
      <x:c r="G139" s="64" t="str">
        <x:f>IFERROR(VLOOKUP(E139,'Hành động chung'!$A$2:$D$98,3,FALSE),"")</x:f>
      </x:c>
      <x:c r="H139" s="64"/>
      <x:c r="I139" s="118" t="str">
        <x:f>IF(H139="","",IF(H139="Rất không thích",-2,IF(H139="Không thích",-1,IF(H139="Bình thường",0,IF(H139="Thích",1,IF(H139="Rất thích",2,""))))))</x:f>
      </x:c>
      <x:c r="J139" s="64"/>
      <x:c r="K139" s="64"/>
      <x:c r="L139" s="64"/>
      <x:c r="M139" s="64" t="str">
        <x:f>IF(OR(I139="",K139="",L139=""),"",I139*IF(K139="0 - Chưa từng",0,IF(K139="1 - Ít trải nghiệm",1/3,IF(K139="2 - Có trải nghiệm",2/3,1)))*(L139/5))</x:f>
      </x:c>
      <x:c r="N139" s="131"/>
    </x:row>
    <x:row r="140">
      <x:c r="A140" s="117"/>
      <x:c r="B140" s="118"/>
      <x:c r="C140" s="64"/>
      <x:c r="D140" s="64"/>
      <x:c r="E140" s="64"/>
      <x:c r="F140" s="64" t="str">
        <x:f>IFERROR(VLOOKUP(E140,'Hành động chung'!$A$2:$D$98,2,FALSE),"")</x:f>
      </x:c>
      <x:c r="G140" s="64" t="str">
        <x:f>IFERROR(VLOOKUP(E140,'Hành động chung'!$A$2:$D$98,3,FALSE),"")</x:f>
      </x:c>
      <x:c r="H140" s="64"/>
      <x:c r="I140" s="118" t="str">
        <x:f>IF(H140="","",IF(H140="Rất không thích",-2,IF(H140="Không thích",-1,IF(H140="Bình thường",0,IF(H140="Thích",1,IF(H140="Rất thích",2,""))))))</x:f>
      </x:c>
      <x:c r="J140" s="64"/>
      <x:c r="K140" s="64"/>
      <x:c r="L140" s="64"/>
      <x:c r="M140" s="64" t="str">
        <x:f>IF(OR(I140="",K140="",L140=""),"",I140*IF(K140="0 - Chưa từng",0,IF(K140="1 - Ít trải nghiệm",1/3,IF(K140="2 - Có trải nghiệm",2/3,1)))*(L140/5))</x:f>
      </x:c>
      <x:c r="N140" s="131"/>
    </x:row>
    <x:row r="141">
      <x:c r="A141" s="117"/>
      <x:c r="B141" s="118"/>
      <x:c r="C141" s="64"/>
      <x:c r="D141" s="64"/>
      <x:c r="E141" s="64"/>
      <x:c r="F141" s="64" t="str">
        <x:f>IFERROR(VLOOKUP(E141,'Hành động chung'!$A$2:$D$98,2,FALSE),"")</x:f>
      </x:c>
      <x:c r="G141" s="64" t="str">
        <x:f>IFERROR(VLOOKUP(E141,'Hành động chung'!$A$2:$D$98,3,FALSE),"")</x:f>
      </x:c>
      <x:c r="H141" s="64"/>
      <x:c r="I141" s="118" t="str">
        <x:f>IF(H141="","",IF(H141="Rất không thích",-2,IF(H141="Không thích",-1,IF(H141="Bình thường",0,IF(H141="Thích",1,IF(H141="Rất thích",2,""))))))</x:f>
      </x:c>
      <x:c r="J141" s="64"/>
      <x:c r="K141" s="64"/>
      <x:c r="L141" s="64"/>
      <x:c r="M141" s="64" t="str">
        <x:f>IF(OR(I141="",K141="",L141=""),"",I141*IF(K141="0 - Chưa từng",0,IF(K141="1 - Ít trải nghiệm",1/3,IF(K141="2 - Có trải nghiệm",2/3,1)))*(L141/5))</x:f>
      </x:c>
      <x:c r="N141" s="131"/>
    </x:row>
    <x:row r="142">
      <x:c r="A142" s="117"/>
      <x:c r="B142" s="118"/>
      <x:c r="C142" s="64"/>
      <x:c r="D142" s="64"/>
      <x:c r="E142" s="64"/>
      <x:c r="F142" s="64" t="str">
        <x:f>IFERROR(VLOOKUP(E142,'Hành động chung'!$A$2:$D$98,2,FALSE),"")</x:f>
      </x:c>
      <x:c r="G142" s="64" t="str">
        <x:f>IFERROR(VLOOKUP(E142,'Hành động chung'!$A$2:$D$98,3,FALSE),"")</x:f>
      </x:c>
      <x:c r="H142" s="64"/>
      <x:c r="I142" s="118" t="str">
        <x:f>IF(H142="","",IF(H142="Rất không thích",-2,IF(H142="Không thích",-1,IF(H142="Bình thường",0,IF(H142="Thích",1,IF(H142="Rất thích",2,""))))))</x:f>
      </x:c>
      <x:c r="J142" s="64"/>
      <x:c r="K142" s="64"/>
      <x:c r="L142" s="64"/>
      <x:c r="M142" s="64" t="str">
        <x:f>IF(OR(I142="",K142="",L142=""),"",I142*IF(K142="0 - Chưa từng",0,IF(K142="1 - Ít trải nghiệm",1/3,IF(K142="2 - Có trải nghiệm",2/3,1)))*(L142/5))</x:f>
      </x:c>
      <x:c r="N142" s="131"/>
    </x:row>
    <x:row r="143">
      <x:c r="A143" s="117"/>
      <x:c r="B143" s="118"/>
      <x:c r="C143" s="64"/>
      <x:c r="D143" s="64"/>
      <x:c r="E143" s="64"/>
      <x:c r="F143" s="64" t="str">
        <x:f>IFERROR(VLOOKUP(E143,'Hành động chung'!$A$2:$D$98,2,FALSE),"")</x:f>
      </x:c>
      <x:c r="G143" s="64" t="str">
        <x:f>IFERROR(VLOOKUP(E143,'Hành động chung'!$A$2:$D$98,3,FALSE),"")</x:f>
      </x:c>
      <x:c r="H143" s="64"/>
      <x:c r="I143" s="118" t="str">
        <x:f>IF(H143="","",IF(H143="Rất không thích",-2,IF(H143="Không thích",-1,IF(H143="Bình thường",0,IF(H143="Thích",1,IF(H143="Rất thích",2,""))))))</x:f>
      </x:c>
      <x:c r="J143" s="64"/>
      <x:c r="K143" s="64"/>
      <x:c r="L143" s="64"/>
      <x:c r="M143" s="64" t="str">
        <x:f>IF(OR(I143="",K143="",L143=""),"",I143*IF(K143="0 - Chưa từng",0,IF(K143="1 - Ít trải nghiệm",1/3,IF(K143="2 - Có trải nghiệm",2/3,1)))*(L143/5))</x:f>
      </x:c>
      <x:c r="N143" s="131"/>
    </x:row>
    <x:row r="144">
      <x:c r="A144" s="117"/>
      <x:c r="B144" s="118"/>
      <x:c r="C144" s="64"/>
      <x:c r="D144" s="64"/>
      <x:c r="E144" s="64"/>
      <x:c r="F144" s="64" t="str">
        <x:f>IFERROR(VLOOKUP(E144,'Hành động chung'!$A$2:$D$98,2,FALSE),"")</x:f>
      </x:c>
      <x:c r="G144" s="64" t="str">
        <x:f>IFERROR(VLOOKUP(E144,'Hành động chung'!$A$2:$D$98,3,FALSE),"")</x:f>
      </x:c>
      <x:c r="H144" s="64"/>
      <x:c r="I144" s="118" t="str">
        <x:f>IF(H144="","",IF(H144="Rất không thích",-2,IF(H144="Không thích",-1,IF(H144="Bình thường",0,IF(H144="Thích",1,IF(H144="Rất thích",2,""))))))</x:f>
      </x:c>
      <x:c r="J144" s="64"/>
      <x:c r="K144" s="64"/>
      <x:c r="L144" s="64"/>
      <x:c r="M144" s="64" t="str">
        <x:f>IF(OR(I144="",K144="",L144=""),"",I144*IF(K144="0 - Chưa từng",0,IF(K144="1 - Ít trải nghiệm",1/3,IF(K144="2 - Có trải nghiệm",2/3,1)))*(L144/5))</x:f>
      </x:c>
      <x:c r="N144" s="131"/>
    </x:row>
    <x:row r="145">
      <x:c r="A145" s="117"/>
      <x:c r="B145" s="118"/>
      <x:c r="C145" s="64"/>
      <x:c r="D145" s="64"/>
      <x:c r="E145" s="64"/>
      <x:c r="F145" s="64" t="str">
        <x:f>IFERROR(VLOOKUP(E145,'Hành động chung'!$A$2:$D$98,2,FALSE),"")</x:f>
      </x:c>
      <x:c r="G145" s="64" t="str">
        <x:f>IFERROR(VLOOKUP(E145,'Hành động chung'!$A$2:$D$98,3,FALSE),"")</x:f>
      </x:c>
      <x:c r="H145" s="64"/>
      <x:c r="I145" s="118" t="str">
        <x:f>IF(H145="","",IF(H145="Rất không thích",-2,IF(H145="Không thích",-1,IF(H145="Bình thường",0,IF(H145="Thích",1,IF(H145="Rất thích",2,""))))))</x:f>
      </x:c>
      <x:c r="J145" s="64"/>
      <x:c r="K145" s="64"/>
      <x:c r="L145" s="64"/>
      <x:c r="M145" s="64" t="str">
        <x:f>IF(OR(I145="",K145="",L145=""),"",I145*IF(K145="0 - Chưa từng",0,IF(K145="1 - Ít trải nghiệm",1/3,IF(K145="2 - Có trải nghiệm",2/3,1)))*(L145/5))</x:f>
      </x:c>
      <x:c r="N145" s="131"/>
    </x:row>
    <x:row r="146">
      <x:c r="A146" s="117"/>
      <x:c r="B146" s="118"/>
      <x:c r="C146" s="64"/>
      <x:c r="D146" s="64"/>
      <x:c r="E146" s="64"/>
      <x:c r="F146" s="64" t="str">
        <x:f>IFERROR(VLOOKUP(E146,'Hành động chung'!$A$2:$D$98,2,FALSE),"")</x:f>
      </x:c>
      <x:c r="G146" s="64" t="str">
        <x:f>IFERROR(VLOOKUP(E146,'Hành động chung'!$A$2:$D$98,3,FALSE),"")</x:f>
      </x:c>
      <x:c r="H146" s="64"/>
      <x:c r="I146" s="118" t="str">
        <x:f>IF(H146="","",IF(H146="Rất không thích",-2,IF(H146="Không thích",-1,IF(H146="Bình thường",0,IF(H146="Thích",1,IF(H146="Rất thích",2,""))))))</x:f>
      </x:c>
      <x:c r="J146" s="64"/>
      <x:c r="K146" s="64"/>
      <x:c r="L146" s="64"/>
      <x:c r="M146" s="64" t="str">
        <x:f>IF(OR(I146="",K146="",L146=""),"",I146*IF(K146="0 - Chưa từng",0,IF(K146="1 - Ít trải nghiệm",1/3,IF(K146="2 - Có trải nghiệm",2/3,1)))*(L146/5))</x:f>
      </x:c>
      <x:c r="N146" s="131"/>
    </x:row>
    <x:row r="147">
      <x:c r="A147" s="117"/>
      <x:c r="B147" s="118"/>
      <x:c r="C147" s="64"/>
      <x:c r="D147" s="64"/>
      <x:c r="E147" s="64"/>
      <x:c r="F147" s="64" t="str">
        <x:f>IFERROR(VLOOKUP(E147,'Hành động chung'!$A$2:$D$98,2,FALSE),"")</x:f>
      </x:c>
      <x:c r="G147" s="64" t="str">
        <x:f>IFERROR(VLOOKUP(E147,'Hành động chung'!$A$2:$D$98,3,FALSE),"")</x:f>
      </x:c>
      <x:c r="H147" s="64"/>
      <x:c r="I147" s="118" t="str">
        <x:f>IF(H147="","",IF(H147="Rất không thích",-2,IF(H147="Không thích",-1,IF(H147="Bình thường",0,IF(H147="Thích",1,IF(H147="Rất thích",2,""))))))</x:f>
      </x:c>
      <x:c r="J147" s="64"/>
      <x:c r="K147" s="64"/>
      <x:c r="L147" s="64"/>
      <x:c r="M147" s="64" t="str">
        <x:f>IF(OR(I147="",K147="",L147=""),"",I147*IF(K147="0 - Chưa từng",0,IF(K147="1 - Ít trải nghiệm",1/3,IF(K147="2 - Có trải nghiệm",2/3,1)))*(L147/5))</x:f>
      </x:c>
      <x:c r="N147" s="131"/>
    </x:row>
    <x:row r="148">
      <x:c r="A148" s="117"/>
      <x:c r="B148" s="118"/>
      <x:c r="C148" s="64"/>
      <x:c r="D148" s="64"/>
      <x:c r="E148" s="64"/>
      <x:c r="F148" s="64" t="str">
        <x:f>IFERROR(VLOOKUP(E148,'Hành động chung'!$A$2:$D$98,2,FALSE),"")</x:f>
      </x:c>
      <x:c r="G148" s="64" t="str">
        <x:f>IFERROR(VLOOKUP(E148,'Hành động chung'!$A$2:$D$98,3,FALSE),"")</x:f>
      </x:c>
      <x:c r="H148" s="64"/>
      <x:c r="I148" s="118" t="str">
        <x:f>IF(H148="","",IF(H148="Rất không thích",-2,IF(H148="Không thích",-1,IF(H148="Bình thường",0,IF(H148="Thích",1,IF(H148="Rất thích",2,""))))))</x:f>
      </x:c>
      <x:c r="J148" s="64"/>
      <x:c r="K148" s="64"/>
      <x:c r="L148" s="64"/>
      <x:c r="M148" s="64" t="str">
        <x:f>IF(OR(I148="",K148="",L148=""),"",I148*IF(K148="0 - Chưa từng",0,IF(K148="1 - Ít trải nghiệm",1/3,IF(K148="2 - Có trải nghiệm",2/3,1)))*(L148/5))</x:f>
      </x:c>
      <x:c r="N148" s="131"/>
    </x:row>
    <x:row r="149">
      <x:c r="A149" s="117"/>
      <x:c r="B149" s="118"/>
      <x:c r="C149" s="64"/>
      <x:c r="D149" s="64"/>
      <x:c r="E149" s="64"/>
      <x:c r="F149" s="64" t="str">
        <x:f>IFERROR(VLOOKUP(E149,'Hành động chung'!$A$2:$D$98,2,FALSE),"")</x:f>
      </x:c>
      <x:c r="G149" s="64" t="str">
        <x:f>IFERROR(VLOOKUP(E149,'Hành động chung'!$A$2:$D$98,3,FALSE),"")</x:f>
      </x:c>
      <x:c r="H149" s="64"/>
      <x:c r="I149" s="118" t="str">
        <x:f>IF(H149="","",IF(H149="Rất không thích",-2,IF(H149="Không thích",-1,IF(H149="Bình thường",0,IF(H149="Thích",1,IF(H149="Rất thích",2,""))))))</x:f>
      </x:c>
      <x:c r="J149" s="64"/>
      <x:c r="K149" s="64"/>
      <x:c r="L149" s="64"/>
      <x:c r="M149" s="64" t="str">
        <x:f>IF(OR(I149="",K149="",L149=""),"",I149*IF(K149="0 - Chưa từng",0,IF(K149="1 - Ít trải nghiệm",1/3,IF(K149="2 - Có trải nghiệm",2/3,1)))*(L149/5))</x:f>
      </x:c>
      <x:c r="N149" s="131"/>
    </x:row>
    <x:row r="150">
      <x:c r="A150" s="117"/>
      <x:c r="B150" s="118"/>
      <x:c r="C150" s="64"/>
      <x:c r="D150" s="64"/>
      <x:c r="E150" s="64"/>
      <x:c r="F150" s="64" t="str">
        <x:f>IFERROR(VLOOKUP(E150,'Hành động chung'!$A$2:$D$98,2,FALSE),"")</x:f>
      </x:c>
      <x:c r="G150" s="64" t="str">
        <x:f>IFERROR(VLOOKUP(E150,'Hành động chung'!$A$2:$D$98,3,FALSE),"")</x:f>
      </x:c>
      <x:c r="H150" s="64"/>
      <x:c r="I150" s="118" t="str">
        <x:f>IF(H150="","",IF(H150="Rất không thích",-2,IF(H150="Không thích",-1,IF(H150="Bình thường",0,IF(H150="Thích",1,IF(H150="Rất thích",2,""))))))</x:f>
      </x:c>
      <x:c r="J150" s="64"/>
      <x:c r="K150" s="64"/>
      <x:c r="L150" s="64"/>
      <x:c r="M150" s="64" t="str">
        <x:f>IF(OR(I150="",K150="",L150=""),"",I150*IF(K150="0 - Chưa từng",0,IF(K150="1 - Ít trải nghiệm",1/3,IF(K150="2 - Có trải nghiệm",2/3,1)))*(L150/5))</x:f>
      </x:c>
      <x:c r="N150" s="131"/>
    </x:row>
    <x:row r="151">
      <x:c r="A151" s="117"/>
      <x:c r="B151" s="118"/>
      <x:c r="C151" s="64"/>
      <x:c r="D151" s="64"/>
      <x:c r="E151" s="64"/>
      <x:c r="F151" s="64" t="str">
        <x:f>IFERROR(VLOOKUP(E151,'Hành động chung'!$A$2:$D$98,2,FALSE),"")</x:f>
      </x:c>
      <x:c r="G151" s="64" t="str">
        <x:f>IFERROR(VLOOKUP(E151,'Hành động chung'!$A$2:$D$98,3,FALSE),"")</x:f>
      </x:c>
      <x:c r="H151" s="64"/>
      <x:c r="I151" s="118" t="str">
        <x:f>IF(H151="","",IF(H151="Rất không thích",-2,IF(H151="Không thích",-1,IF(H151="Bình thường",0,IF(H151="Thích",1,IF(H151="Rất thích",2,""))))))</x:f>
      </x:c>
      <x:c r="J151" s="64"/>
      <x:c r="K151" s="64"/>
      <x:c r="L151" s="64"/>
      <x:c r="M151" s="64" t="str">
        <x:f>IF(OR(I151="",K151="",L151=""),"",I151*IF(K151="0 - Chưa từng",0,IF(K151="1 - Ít trải nghiệm",1/3,IF(K151="2 - Có trải nghiệm",2/3,1)))*(L151/5))</x:f>
      </x:c>
      <x:c r="N151" s="131"/>
    </x:row>
    <x:row r="152">
      <x:c r="A152" s="117"/>
      <x:c r="B152" s="118"/>
      <x:c r="C152" s="64"/>
      <x:c r="D152" s="64"/>
      <x:c r="E152" s="64"/>
      <x:c r="F152" s="64" t="str">
        <x:f>IFERROR(VLOOKUP(E152,'Hành động chung'!$A$2:$D$98,2,FALSE),"")</x:f>
      </x:c>
      <x:c r="G152" s="64" t="str">
        <x:f>IFERROR(VLOOKUP(E152,'Hành động chung'!$A$2:$D$98,3,FALSE),"")</x:f>
      </x:c>
      <x:c r="H152" s="64"/>
      <x:c r="I152" s="118" t="str">
        <x:f>IF(H152="","",IF(H152="Rất không thích",-2,IF(H152="Không thích",-1,IF(H152="Bình thường",0,IF(H152="Thích",1,IF(H152="Rất thích",2,""))))))</x:f>
      </x:c>
      <x:c r="J152" s="64"/>
      <x:c r="K152" s="64"/>
      <x:c r="L152" s="64"/>
      <x:c r="M152" s="64" t="str">
        <x:f>IF(OR(I152="",K152="",L152=""),"",I152*IF(K152="0 - Chưa từng",0,IF(K152="1 - Ít trải nghiệm",1/3,IF(K152="2 - Có trải nghiệm",2/3,1)))*(L152/5))</x:f>
      </x:c>
      <x:c r="N152" s="131"/>
    </x:row>
    <x:row r="153">
      <x:c r="A153" s="117"/>
      <x:c r="B153" s="118"/>
      <x:c r="C153" s="64"/>
      <x:c r="D153" s="64"/>
      <x:c r="E153" s="64"/>
      <x:c r="F153" s="64" t="str">
        <x:f>IFERROR(VLOOKUP(E153,'Hành động chung'!$A$2:$D$98,2,FALSE),"")</x:f>
      </x:c>
      <x:c r="G153" s="64" t="str">
        <x:f>IFERROR(VLOOKUP(E153,'Hành động chung'!$A$2:$D$98,3,FALSE),"")</x:f>
      </x:c>
      <x:c r="H153" s="64"/>
      <x:c r="I153" s="118" t="str">
        <x:f>IF(H153="","",IF(H153="Rất không thích",-2,IF(H153="Không thích",-1,IF(H153="Bình thường",0,IF(H153="Thích",1,IF(H153="Rất thích",2,""))))))</x:f>
      </x:c>
      <x:c r="J153" s="64"/>
      <x:c r="K153" s="64"/>
      <x:c r="L153" s="64"/>
      <x:c r="M153" s="64" t="str">
        <x:f>IF(OR(I153="",K153="",L153=""),"",I153*IF(K153="0 - Chưa từng",0,IF(K153="1 - Ít trải nghiệm",1/3,IF(K153="2 - Có trải nghiệm",2/3,1)))*(L153/5))</x:f>
      </x:c>
      <x:c r="N153" s="131"/>
    </x:row>
    <x:row r="154">
      <x:c r="A154" s="117"/>
      <x:c r="B154" s="118"/>
      <x:c r="C154" s="64"/>
      <x:c r="D154" s="64"/>
      <x:c r="E154" s="64"/>
      <x:c r="F154" s="64" t="str">
        <x:f>IFERROR(VLOOKUP(E154,'Hành động chung'!$A$2:$D$98,2,FALSE),"")</x:f>
      </x:c>
      <x:c r="G154" s="64" t="str">
        <x:f>IFERROR(VLOOKUP(E154,'Hành động chung'!$A$2:$D$98,3,FALSE),"")</x:f>
      </x:c>
      <x:c r="H154" s="64"/>
      <x:c r="I154" s="118" t="str">
        <x:f>IF(H154="","",IF(H154="Rất không thích",-2,IF(H154="Không thích",-1,IF(H154="Bình thường",0,IF(H154="Thích",1,IF(H154="Rất thích",2,""))))))</x:f>
      </x:c>
      <x:c r="J154" s="64"/>
      <x:c r="K154" s="64"/>
      <x:c r="L154" s="64"/>
      <x:c r="M154" s="64" t="str">
        <x:f>IF(OR(I154="",K154="",L154=""),"",I154*IF(K154="0 - Chưa từng",0,IF(K154="1 - Ít trải nghiệm",1/3,IF(K154="2 - Có trải nghiệm",2/3,1)))*(L154/5))</x:f>
      </x:c>
      <x:c r="N154" s="131"/>
    </x:row>
    <x:row r="155">
      <x:c r="A155" s="117"/>
      <x:c r="B155" s="118"/>
      <x:c r="C155" s="64"/>
      <x:c r="D155" s="64"/>
      <x:c r="E155" s="64"/>
      <x:c r="F155" s="64" t="str">
        <x:f>IFERROR(VLOOKUP(E155,'Hành động chung'!$A$2:$D$98,2,FALSE),"")</x:f>
      </x:c>
      <x:c r="G155" s="64" t="str">
        <x:f>IFERROR(VLOOKUP(E155,'Hành động chung'!$A$2:$D$98,3,FALSE),"")</x:f>
      </x:c>
      <x:c r="H155" s="64"/>
      <x:c r="I155" s="118" t="str">
        <x:f>IF(H155="","",IF(H155="Rất không thích",-2,IF(H155="Không thích",-1,IF(H155="Bình thường",0,IF(H155="Thích",1,IF(H155="Rất thích",2,""))))))</x:f>
      </x:c>
      <x:c r="J155" s="64"/>
      <x:c r="K155" s="64"/>
      <x:c r="L155" s="64"/>
      <x:c r="M155" s="64" t="str">
        <x:f>IF(OR(I155="",K155="",L155=""),"",I155*IF(K155="0 - Chưa từng",0,IF(K155="1 - Ít trải nghiệm",1/3,IF(K155="2 - Có trải nghiệm",2/3,1)))*(L155/5))</x:f>
      </x:c>
      <x:c r="N155" s="131"/>
    </x:row>
    <x:row r="156">
      <x:c r="A156" s="117"/>
      <x:c r="B156" s="118"/>
      <x:c r="C156" s="64"/>
      <x:c r="D156" s="64"/>
      <x:c r="E156" s="64"/>
      <x:c r="F156" s="64" t="str">
        <x:f>IFERROR(VLOOKUP(E156,'Hành động chung'!$A$2:$D$98,2,FALSE),"")</x:f>
      </x:c>
      <x:c r="G156" s="64" t="str">
        <x:f>IFERROR(VLOOKUP(E156,'Hành động chung'!$A$2:$D$98,3,FALSE),"")</x:f>
      </x:c>
      <x:c r="H156" s="64"/>
      <x:c r="I156" s="118" t="str">
        <x:f>IF(H156="","",IF(H156="Rất không thích",-2,IF(H156="Không thích",-1,IF(H156="Bình thường",0,IF(H156="Thích",1,IF(H156="Rất thích",2,""))))))</x:f>
      </x:c>
      <x:c r="J156" s="64"/>
      <x:c r="K156" s="64"/>
      <x:c r="L156" s="64"/>
      <x:c r="M156" s="64" t="str">
        <x:f>IF(OR(I156="",K156="",L156=""),"",I156*IF(K156="0 - Chưa từng",0,IF(K156="1 - Ít trải nghiệm",1/3,IF(K156="2 - Có trải nghiệm",2/3,1)))*(L156/5))</x:f>
      </x:c>
      <x:c r="N156" s="131"/>
    </x:row>
    <x:row r="157">
      <x:c r="A157" s="117"/>
      <x:c r="B157" s="118"/>
      <x:c r="C157" s="64"/>
      <x:c r="D157" s="64"/>
      <x:c r="E157" s="64"/>
      <x:c r="F157" s="64" t="str">
        <x:f>IFERROR(VLOOKUP(E157,'Hành động chung'!$A$2:$D$98,2,FALSE),"")</x:f>
      </x:c>
      <x:c r="G157" s="64" t="str">
        <x:f>IFERROR(VLOOKUP(E157,'Hành động chung'!$A$2:$D$98,3,FALSE),"")</x:f>
      </x:c>
      <x:c r="H157" s="64"/>
      <x:c r="I157" s="118" t="str">
        <x:f>IF(H157="","",IF(H157="Rất không thích",-2,IF(H157="Không thích",-1,IF(H157="Bình thường",0,IF(H157="Thích",1,IF(H157="Rất thích",2,""))))))</x:f>
      </x:c>
      <x:c r="J157" s="64"/>
      <x:c r="K157" s="64"/>
      <x:c r="L157" s="64"/>
      <x:c r="M157" s="64" t="str">
        <x:f>IF(OR(I157="",K157="",L157=""),"",I157*IF(K157="0 - Chưa từng",0,IF(K157="1 - Ít trải nghiệm",1/3,IF(K157="2 - Có trải nghiệm",2/3,1)))*(L157/5))</x:f>
      </x:c>
      <x:c r="N157" s="131"/>
    </x:row>
    <x:row r="158">
      <x:c r="A158" s="117"/>
      <x:c r="B158" s="118"/>
      <x:c r="C158" s="64"/>
      <x:c r="D158" s="64"/>
      <x:c r="E158" s="64"/>
      <x:c r="F158" s="64" t="str">
        <x:f>IFERROR(VLOOKUP(E158,'Hành động chung'!$A$2:$D$98,2,FALSE),"")</x:f>
      </x:c>
      <x:c r="G158" s="64" t="str">
        <x:f>IFERROR(VLOOKUP(E158,'Hành động chung'!$A$2:$D$98,3,FALSE),"")</x:f>
      </x:c>
      <x:c r="H158" s="64"/>
      <x:c r="I158" s="118" t="str">
        <x:f>IF(H158="","",IF(H158="Rất không thích",-2,IF(H158="Không thích",-1,IF(H158="Bình thường",0,IF(H158="Thích",1,IF(H158="Rất thích",2,""))))))</x:f>
      </x:c>
      <x:c r="J158" s="64"/>
      <x:c r="K158" s="64"/>
      <x:c r="L158" s="64"/>
      <x:c r="M158" s="64" t="str">
        <x:f>IF(OR(I158="",K158="",L158=""),"",I158*IF(K158="0 - Chưa từng",0,IF(K158="1 - Ít trải nghiệm",1/3,IF(K158="2 - Có trải nghiệm",2/3,1)))*(L158/5))</x:f>
      </x:c>
      <x:c r="N158" s="131"/>
    </x:row>
    <x:row r="159">
      <x:c r="A159" s="117"/>
      <x:c r="B159" s="118"/>
      <x:c r="C159" s="64"/>
      <x:c r="D159" s="64"/>
      <x:c r="E159" s="64"/>
      <x:c r="F159" s="64" t="str">
        <x:f>IFERROR(VLOOKUP(E159,'Hành động chung'!$A$2:$D$98,2,FALSE),"")</x:f>
      </x:c>
      <x:c r="G159" s="64" t="str">
        <x:f>IFERROR(VLOOKUP(E159,'Hành động chung'!$A$2:$D$98,3,FALSE),"")</x:f>
      </x:c>
      <x:c r="H159" s="64"/>
      <x:c r="I159" s="118" t="str">
        <x:f>IF(H159="","",IF(H159="Rất không thích",-2,IF(H159="Không thích",-1,IF(H159="Bình thường",0,IF(H159="Thích",1,IF(H159="Rất thích",2,""))))))</x:f>
      </x:c>
      <x:c r="J159" s="64"/>
      <x:c r="K159" s="64"/>
      <x:c r="L159" s="64"/>
      <x:c r="M159" s="64" t="str">
        <x:f>IF(OR(I159="",K159="",L159=""),"",I159*IF(K159="0 - Chưa từng",0,IF(K159="1 - Ít trải nghiệm",1/3,IF(K159="2 - Có trải nghiệm",2/3,1)))*(L159/5))</x:f>
      </x:c>
      <x:c r="N159" s="131"/>
    </x:row>
    <x:row r="160">
      <x:c r="A160" s="117"/>
      <x:c r="B160" s="118"/>
      <x:c r="C160" s="64"/>
      <x:c r="D160" s="64"/>
      <x:c r="E160" s="64"/>
      <x:c r="F160" s="64" t="str">
        <x:f>IFERROR(VLOOKUP(E160,'Hành động chung'!$A$2:$D$98,2,FALSE),"")</x:f>
      </x:c>
      <x:c r="G160" s="64" t="str">
        <x:f>IFERROR(VLOOKUP(E160,'Hành động chung'!$A$2:$D$98,3,FALSE),"")</x:f>
      </x:c>
      <x:c r="H160" s="64"/>
      <x:c r="I160" s="118" t="str">
        <x:f>IF(H160="","",IF(H160="Rất không thích",-2,IF(H160="Không thích",-1,IF(H160="Bình thường",0,IF(H160="Thích",1,IF(H160="Rất thích",2,""))))))</x:f>
      </x:c>
      <x:c r="J160" s="64"/>
      <x:c r="K160" s="64"/>
      <x:c r="L160" s="64"/>
      <x:c r="M160" s="64" t="str">
        <x:f>IF(OR(I160="",K160="",L160=""),"",I160*IF(K160="0 - Chưa từng",0,IF(K160="1 - Ít trải nghiệm",1/3,IF(K160="2 - Có trải nghiệm",2/3,1)))*(L160/5))</x:f>
      </x:c>
      <x:c r="N160" s="131"/>
    </x:row>
    <x:row r="161">
      <x:c r="A161" s="117"/>
      <x:c r="B161" s="118"/>
      <x:c r="C161" s="64"/>
      <x:c r="D161" s="64"/>
      <x:c r="E161" s="64"/>
      <x:c r="F161" s="64" t="str">
        <x:f>IFERROR(VLOOKUP(E161,'Hành động chung'!$A$2:$D$98,2,FALSE),"")</x:f>
      </x:c>
      <x:c r="G161" s="64" t="str">
        <x:f>IFERROR(VLOOKUP(E161,'Hành động chung'!$A$2:$D$98,3,FALSE),"")</x:f>
      </x:c>
      <x:c r="H161" s="64"/>
      <x:c r="I161" s="118" t="str">
        <x:f>IF(H161="","",IF(H161="Rất không thích",-2,IF(H161="Không thích",-1,IF(H161="Bình thường",0,IF(H161="Thích",1,IF(H161="Rất thích",2,""))))))</x:f>
      </x:c>
      <x:c r="J161" s="64"/>
      <x:c r="K161" s="64"/>
      <x:c r="L161" s="64"/>
      <x:c r="M161" s="64" t="str">
        <x:f>IF(OR(I161="",K161="",L161=""),"",I161*IF(K161="0 - Chưa từng",0,IF(K161="1 - Ít trải nghiệm",1/3,IF(K161="2 - Có trải nghiệm",2/3,1)))*(L161/5))</x:f>
      </x:c>
      <x:c r="N161" s="131"/>
    </x:row>
    <x:row r="162">
      <x:c r="A162" s="117"/>
      <x:c r="B162" s="118"/>
      <x:c r="C162" s="64"/>
      <x:c r="D162" s="64"/>
      <x:c r="E162" s="64"/>
      <x:c r="F162" s="64" t="str">
        <x:f>IFERROR(VLOOKUP(E162,'Hành động chung'!$A$2:$D$98,2,FALSE),"")</x:f>
      </x:c>
      <x:c r="G162" s="64" t="str">
        <x:f>IFERROR(VLOOKUP(E162,'Hành động chung'!$A$2:$D$98,3,FALSE),"")</x:f>
      </x:c>
      <x:c r="H162" s="64"/>
      <x:c r="I162" s="118" t="str">
        <x:f>IF(H162="","",IF(H162="Rất không thích",-2,IF(H162="Không thích",-1,IF(H162="Bình thường",0,IF(H162="Thích",1,IF(H162="Rất thích",2,""))))))</x:f>
      </x:c>
      <x:c r="J162" s="64"/>
      <x:c r="K162" s="64"/>
      <x:c r="L162" s="64"/>
      <x:c r="M162" s="64" t="str">
        <x:f>IF(OR(I162="",K162="",L162=""),"",I162*IF(K162="0 - Chưa từng",0,IF(K162="1 - Ít trải nghiệm",1/3,IF(K162="2 - Có trải nghiệm",2/3,1)))*(L162/5))</x:f>
      </x:c>
      <x:c r="N162" s="131"/>
    </x:row>
    <x:row r="163">
      <x:c r="A163" s="117"/>
      <x:c r="B163" s="118"/>
      <x:c r="C163" s="64"/>
      <x:c r="D163" s="64"/>
      <x:c r="E163" s="64"/>
      <x:c r="F163" s="64" t="str">
        <x:f>IFERROR(VLOOKUP(E163,'Hành động chung'!$A$2:$D$98,2,FALSE),"")</x:f>
      </x:c>
      <x:c r="G163" s="64" t="str">
        <x:f>IFERROR(VLOOKUP(E163,'Hành động chung'!$A$2:$D$98,3,FALSE),"")</x:f>
      </x:c>
      <x:c r="H163" s="64"/>
      <x:c r="I163" s="118" t="str">
        <x:f>IF(H163="","",IF(H163="Rất không thích",-2,IF(H163="Không thích",-1,IF(H163="Bình thường",0,IF(H163="Thích",1,IF(H163="Rất thích",2,""))))))</x:f>
      </x:c>
      <x:c r="J163" s="64"/>
      <x:c r="K163" s="64"/>
      <x:c r="L163" s="64"/>
      <x:c r="M163" s="64" t="str">
        <x:f>IF(OR(I163="",K163="",L163=""),"",I163*IF(K163="0 - Chưa từng",0,IF(K163="1 - Ít trải nghiệm",1/3,IF(K163="2 - Có trải nghiệm",2/3,1)))*(L163/5))</x:f>
      </x:c>
      <x:c r="N163" s="131"/>
    </x:row>
    <x:row r="164">
      <x:c r="A164" s="117"/>
      <x:c r="B164" s="118"/>
      <x:c r="C164" s="64"/>
      <x:c r="D164" s="64"/>
      <x:c r="E164" s="64"/>
      <x:c r="F164" s="64" t="str">
        <x:f>IFERROR(VLOOKUP(E164,'Hành động chung'!$A$2:$D$98,2,FALSE),"")</x:f>
      </x:c>
      <x:c r="G164" s="64" t="str">
        <x:f>IFERROR(VLOOKUP(E164,'Hành động chung'!$A$2:$D$98,3,FALSE),"")</x:f>
      </x:c>
      <x:c r="H164" s="64"/>
      <x:c r="I164" s="118" t="str">
        <x:f>IF(H164="","",IF(H164="Rất không thích",-2,IF(H164="Không thích",-1,IF(H164="Bình thường",0,IF(H164="Thích",1,IF(H164="Rất thích",2,""))))))</x:f>
      </x:c>
      <x:c r="J164" s="64"/>
      <x:c r="K164" s="64"/>
      <x:c r="L164" s="64"/>
      <x:c r="M164" s="64" t="str">
        <x:f>IF(OR(I164="",K164="",L164=""),"",I164*IF(K164="0 - Chưa từng",0,IF(K164="1 - Ít trải nghiệm",1/3,IF(K164="2 - Có trải nghiệm",2/3,1)))*(L164/5))</x:f>
      </x:c>
      <x:c r="N164" s="131"/>
    </x:row>
    <x:row r="165">
      <x:c r="A165" s="117"/>
      <x:c r="B165" s="118"/>
      <x:c r="C165" s="64"/>
      <x:c r="D165" s="64"/>
      <x:c r="E165" s="64"/>
      <x:c r="F165" s="64" t="str">
        <x:f>IFERROR(VLOOKUP(E165,'Hành động chung'!$A$2:$D$98,2,FALSE),"")</x:f>
      </x:c>
      <x:c r="G165" s="64" t="str">
        <x:f>IFERROR(VLOOKUP(E165,'Hành động chung'!$A$2:$D$98,3,FALSE),"")</x:f>
      </x:c>
      <x:c r="H165" s="64"/>
      <x:c r="I165" s="118" t="str">
        <x:f>IF(H165="","",IF(H165="Rất không thích",-2,IF(H165="Không thích",-1,IF(H165="Bình thường",0,IF(H165="Thích",1,IF(H165="Rất thích",2,""))))))</x:f>
      </x:c>
      <x:c r="J165" s="64"/>
      <x:c r="K165" s="64"/>
      <x:c r="L165" s="64"/>
      <x:c r="M165" s="64" t="str">
        <x:f>IF(OR(I165="",K165="",L165=""),"",I165*IF(K165="0 - Chưa từng",0,IF(K165="1 - Ít trải nghiệm",1/3,IF(K165="2 - Có trải nghiệm",2/3,1)))*(L165/5))</x:f>
      </x:c>
      <x:c r="N165" s="131"/>
    </x:row>
    <x:row r="166">
      <x:c r="A166" s="117"/>
      <x:c r="B166" s="118"/>
      <x:c r="C166" s="64"/>
      <x:c r="D166" s="64"/>
      <x:c r="E166" s="64"/>
      <x:c r="F166" s="64" t="str">
        <x:f>IFERROR(VLOOKUP(E166,'Hành động chung'!$A$2:$D$98,2,FALSE),"")</x:f>
      </x:c>
      <x:c r="G166" s="64" t="str">
        <x:f>IFERROR(VLOOKUP(E166,'Hành động chung'!$A$2:$D$98,3,FALSE),"")</x:f>
      </x:c>
      <x:c r="H166" s="64"/>
      <x:c r="I166" s="118" t="str">
        <x:f>IF(H166="","",IF(H166="Rất không thích",-2,IF(H166="Không thích",-1,IF(H166="Bình thường",0,IF(H166="Thích",1,IF(H166="Rất thích",2,""))))))</x:f>
      </x:c>
      <x:c r="J166" s="64"/>
      <x:c r="K166" s="64"/>
      <x:c r="L166" s="64"/>
      <x:c r="M166" s="64" t="str">
        <x:f>IF(OR(I166="",K166="",L166=""),"",I166*IF(K166="0 - Chưa từng",0,IF(K166="1 - Ít trải nghiệm",1/3,IF(K166="2 - Có trải nghiệm",2/3,1)))*(L166/5))</x:f>
      </x:c>
      <x:c r="N166" s="131"/>
    </x:row>
    <x:row r="167">
      <x:c r="A167" s="117"/>
      <x:c r="B167" s="118"/>
      <x:c r="C167" s="64"/>
      <x:c r="D167" s="64"/>
      <x:c r="E167" s="64"/>
      <x:c r="F167" s="64" t="str">
        <x:f>IFERROR(VLOOKUP(E167,'Hành động chung'!$A$2:$D$98,2,FALSE),"")</x:f>
      </x:c>
      <x:c r="G167" s="64" t="str">
        <x:f>IFERROR(VLOOKUP(E167,'Hành động chung'!$A$2:$D$98,3,FALSE),"")</x:f>
      </x:c>
      <x:c r="H167" s="64"/>
      <x:c r="I167" s="118" t="str">
        <x:f>IF(H167="","",IF(H167="Rất không thích",-2,IF(H167="Không thích",-1,IF(H167="Bình thường",0,IF(H167="Thích",1,IF(H167="Rất thích",2,""))))))</x:f>
      </x:c>
      <x:c r="J167" s="64"/>
      <x:c r="K167" s="64"/>
      <x:c r="L167" s="64"/>
      <x:c r="M167" s="64" t="str">
        <x:f>IF(OR(I167="",K167="",L167=""),"",I167*IF(K167="0 - Chưa từng",0,IF(K167="1 - Ít trải nghiệm",1/3,IF(K167="2 - Có trải nghiệm",2/3,1)))*(L167/5))</x:f>
      </x:c>
      <x:c r="N167" s="131"/>
    </x:row>
    <x:row r="168">
      <x:c r="A168" s="117"/>
      <x:c r="B168" s="118"/>
      <x:c r="C168" s="64"/>
      <x:c r="D168" s="64"/>
      <x:c r="E168" s="64"/>
      <x:c r="F168" s="64" t="str">
        <x:f>IFERROR(VLOOKUP(E168,'Hành động chung'!$A$2:$D$98,2,FALSE),"")</x:f>
      </x:c>
      <x:c r="G168" s="64" t="str">
        <x:f>IFERROR(VLOOKUP(E168,'Hành động chung'!$A$2:$D$98,3,FALSE),"")</x:f>
      </x:c>
      <x:c r="H168" s="64"/>
      <x:c r="I168" s="118" t="str">
        <x:f>IF(H168="","",IF(H168="Rất không thích",-2,IF(H168="Không thích",-1,IF(H168="Bình thường",0,IF(H168="Thích",1,IF(H168="Rất thích",2,""))))))</x:f>
      </x:c>
      <x:c r="J168" s="64"/>
      <x:c r="K168" s="64"/>
      <x:c r="L168" s="64"/>
      <x:c r="M168" s="64" t="str">
        <x:f>IF(OR(I168="",K168="",L168=""),"",I168*IF(K168="0 - Chưa từng",0,IF(K168="1 - Ít trải nghiệm",1/3,IF(K168="2 - Có trải nghiệm",2/3,1)))*(L168/5))</x:f>
      </x:c>
      <x:c r="N168" s="131"/>
    </x:row>
    <x:row r="169">
      <x:c r="A169" s="117"/>
      <x:c r="B169" s="118"/>
      <x:c r="C169" s="64"/>
      <x:c r="D169" s="64"/>
      <x:c r="E169" s="64"/>
      <x:c r="F169" s="64" t="str">
        <x:f>IFERROR(VLOOKUP(E169,'Hành động chung'!$A$2:$D$98,2,FALSE),"")</x:f>
      </x:c>
      <x:c r="G169" s="64" t="str">
        <x:f>IFERROR(VLOOKUP(E169,'Hành động chung'!$A$2:$D$98,3,FALSE),"")</x:f>
      </x:c>
      <x:c r="H169" s="64"/>
      <x:c r="I169" s="118" t="str">
        <x:f>IF(H169="","",IF(H169="Rất không thích",-2,IF(H169="Không thích",-1,IF(H169="Bình thường",0,IF(H169="Thích",1,IF(H169="Rất thích",2,""))))))</x:f>
      </x:c>
      <x:c r="J169" s="64"/>
      <x:c r="K169" s="64"/>
      <x:c r="L169" s="64"/>
      <x:c r="M169" s="64" t="str">
        <x:f>IF(OR(I169="",K169="",L169=""),"",I169*IF(K169="0 - Chưa từng",0,IF(K169="1 - Ít trải nghiệm",1/3,IF(K169="2 - Có trải nghiệm",2/3,1)))*(L169/5))</x:f>
      </x:c>
      <x:c r="N169" s="131"/>
    </x:row>
    <x:row r="170">
      <x:c r="A170" s="117"/>
      <x:c r="B170" s="118"/>
      <x:c r="C170" s="64"/>
      <x:c r="D170" s="64"/>
      <x:c r="E170" s="64"/>
      <x:c r="F170" s="64" t="str">
        <x:f>IFERROR(VLOOKUP(E170,'Hành động chung'!$A$2:$D$98,2,FALSE),"")</x:f>
      </x:c>
      <x:c r="G170" s="64" t="str">
        <x:f>IFERROR(VLOOKUP(E170,'Hành động chung'!$A$2:$D$98,3,FALSE),"")</x:f>
      </x:c>
      <x:c r="H170" s="64"/>
      <x:c r="I170" s="118" t="str">
        <x:f>IF(H170="","",IF(H170="Rất không thích",-2,IF(H170="Không thích",-1,IF(H170="Bình thường",0,IF(H170="Thích",1,IF(H170="Rất thích",2,""))))))</x:f>
      </x:c>
      <x:c r="J170" s="64"/>
      <x:c r="K170" s="64"/>
      <x:c r="L170" s="64"/>
      <x:c r="M170" s="64" t="str">
        <x:f>IF(OR(I170="",K170="",L170=""),"",I170*IF(K170="0 - Chưa từng",0,IF(K170="1 - Ít trải nghiệm",1/3,IF(K170="2 - Có trải nghiệm",2/3,1)))*(L170/5))</x:f>
      </x:c>
      <x:c r="N170" s="131"/>
    </x:row>
    <x:row r="171">
      <x:c r="A171" s="117"/>
      <x:c r="B171" s="118"/>
      <x:c r="C171" s="64"/>
      <x:c r="D171" s="64"/>
      <x:c r="E171" s="64"/>
      <x:c r="F171" s="64" t="str">
        <x:f>IFERROR(VLOOKUP(E171,'Hành động chung'!$A$2:$D$98,2,FALSE),"")</x:f>
      </x:c>
      <x:c r="G171" s="64" t="str">
        <x:f>IFERROR(VLOOKUP(E171,'Hành động chung'!$A$2:$D$98,3,FALSE),"")</x:f>
      </x:c>
      <x:c r="H171" s="64"/>
      <x:c r="I171" s="118" t="str">
        <x:f>IF(H171="","",IF(H171="Rất không thích",-2,IF(H171="Không thích",-1,IF(H171="Bình thường",0,IF(H171="Thích",1,IF(H171="Rất thích",2,""))))))</x:f>
      </x:c>
      <x:c r="J171" s="64"/>
      <x:c r="K171" s="64"/>
      <x:c r="L171" s="64"/>
      <x:c r="M171" s="64" t="str">
        <x:f>IF(OR(I171="",K171="",L171=""),"",I171*IF(K171="0 - Chưa từng",0,IF(K171="1 - Ít trải nghiệm",1/3,IF(K171="2 - Có trải nghiệm",2/3,1)))*(L171/5))</x:f>
      </x:c>
      <x:c r="N171" s="131"/>
    </x:row>
    <x:row r="172">
      <x:c r="A172" s="117"/>
      <x:c r="B172" s="118"/>
      <x:c r="C172" s="64"/>
      <x:c r="D172" s="64"/>
      <x:c r="E172" s="64"/>
      <x:c r="F172" s="64" t="str">
        <x:f>IFERROR(VLOOKUP(E172,'Hành động chung'!$A$2:$D$98,2,FALSE),"")</x:f>
      </x:c>
      <x:c r="G172" s="64" t="str">
        <x:f>IFERROR(VLOOKUP(E172,'Hành động chung'!$A$2:$D$98,3,FALSE),"")</x:f>
      </x:c>
      <x:c r="H172" s="64"/>
      <x:c r="I172" s="118" t="str">
        <x:f>IF(H172="","",IF(H172="Rất không thích",-2,IF(H172="Không thích",-1,IF(H172="Bình thường",0,IF(H172="Thích",1,IF(H172="Rất thích",2,""))))))</x:f>
      </x:c>
      <x:c r="J172" s="64"/>
      <x:c r="K172" s="64"/>
      <x:c r="L172" s="64"/>
      <x:c r="M172" s="64" t="str">
        <x:f>IF(OR(I172="",K172="",L172=""),"",I172*IF(K172="0 - Chưa từng",0,IF(K172="1 - Ít trải nghiệm",1/3,IF(K172="2 - Có trải nghiệm",2/3,1)))*(L172/5))</x:f>
      </x:c>
      <x:c r="N172" s="131"/>
    </x:row>
    <x:row r="173">
      <x:c r="A173" s="117"/>
      <x:c r="B173" s="118"/>
      <x:c r="C173" s="64"/>
      <x:c r="D173" s="64"/>
      <x:c r="E173" s="64"/>
      <x:c r="F173" s="64" t="str">
        <x:f>IFERROR(VLOOKUP(E173,'Hành động chung'!$A$2:$D$98,2,FALSE),"")</x:f>
      </x:c>
      <x:c r="G173" s="64" t="str">
        <x:f>IFERROR(VLOOKUP(E173,'Hành động chung'!$A$2:$D$98,3,FALSE),"")</x:f>
      </x:c>
      <x:c r="H173" s="64"/>
      <x:c r="I173" s="118" t="str">
        <x:f>IF(H173="","",IF(H173="Rất không thích",-2,IF(H173="Không thích",-1,IF(H173="Bình thường",0,IF(H173="Thích",1,IF(H173="Rất thích",2,""))))))</x:f>
      </x:c>
      <x:c r="J173" s="64"/>
      <x:c r="K173" s="64"/>
      <x:c r="L173" s="64"/>
      <x:c r="M173" s="64" t="str">
        <x:f>IF(OR(I173="",K173="",L173=""),"",I173*IF(K173="0 - Chưa từng",0,IF(K173="1 - Ít trải nghiệm",1/3,IF(K173="2 - Có trải nghiệm",2/3,1)))*(L173/5))</x:f>
      </x:c>
      <x:c r="N173" s="131"/>
    </x:row>
    <x:row r="174">
      <x:c r="A174" s="117"/>
      <x:c r="B174" s="118"/>
      <x:c r="C174" s="64"/>
      <x:c r="D174" s="64"/>
      <x:c r="E174" s="64"/>
      <x:c r="F174" s="64" t="str">
        <x:f>IFERROR(VLOOKUP(E174,'Hành động chung'!$A$2:$D$98,2,FALSE),"")</x:f>
      </x:c>
      <x:c r="G174" s="64" t="str">
        <x:f>IFERROR(VLOOKUP(E174,'Hành động chung'!$A$2:$D$98,3,FALSE),"")</x:f>
      </x:c>
      <x:c r="H174" s="64"/>
      <x:c r="I174" s="118" t="str">
        <x:f>IF(H174="","",IF(H174="Rất không thích",-2,IF(H174="Không thích",-1,IF(H174="Bình thường",0,IF(H174="Thích",1,IF(H174="Rất thích",2,""))))))</x:f>
      </x:c>
      <x:c r="J174" s="64"/>
      <x:c r="K174" s="64"/>
      <x:c r="L174" s="64"/>
      <x:c r="M174" s="64" t="str">
        <x:f>IF(OR(I174="",K174="",L174=""),"",I174*IF(K174="0 - Chưa từng",0,IF(K174="1 - Ít trải nghiệm",1/3,IF(K174="2 - Có trải nghiệm",2/3,1)))*(L174/5))</x:f>
      </x:c>
      <x:c r="N174" s="131"/>
    </x:row>
    <x:row r="175">
      <x:c r="A175" s="117"/>
      <x:c r="B175" s="118"/>
      <x:c r="C175" s="64"/>
      <x:c r="D175" s="64"/>
      <x:c r="E175" s="64"/>
      <x:c r="F175" s="64" t="str">
        <x:f>IFERROR(VLOOKUP(E175,'Hành động chung'!$A$2:$D$98,2,FALSE),"")</x:f>
      </x:c>
      <x:c r="G175" s="64" t="str">
        <x:f>IFERROR(VLOOKUP(E175,'Hành động chung'!$A$2:$D$98,3,FALSE),"")</x:f>
      </x:c>
      <x:c r="H175" s="64"/>
      <x:c r="I175" s="118" t="str">
        <x:f>IF(H175="","",IF(H175="Rất không thích",-2,IF(H175="Không thích",-1,IF(H175="Bình thường",0,IF(H175="Thích",1,IF(H175="Rất thích",2,""))))))</x:f>
      </x:c>
      <x:c r="J175" s="64"/>
      <x:c r="K175" s="64"/>
      <x:c r="L175" s="64"/>
      <x:c r="M175" s="64" t="str">
        <x:f>IF(OR(I175="",K175="",L175=""),"",I175*IF(K175="0 - Chưa từng",0,IF(K175="1 - Ít trải nghiệm",1/3,IF(K175="2 - Có trải nghiệm",2/3,1)))*(L175/5))</x:f>
      </x:c>
      <x:c r="N175" s="131"/>
    </x:row>
    <x:row r="176">
      <x:c r="A176" s="117"/>
      <x:c r="B176" s="118"/>
      <x:c r="C176" s="64"/>
      <x:c r="D176" s="64"/>
      <x:c r="E176" s="64"/>
      <x:c r="F176" s="64" t="str">
        <x:f>IFERROR(VLOOKUP(E176,'Hành động chung'!$A$2:$D$98,2,FALSE),"")</x:f>
      </x:c>
      <x:c r="G176" s="64" t="str">
        <x:f>IFERROR(VLOOKUP(E176,'Hành động chung'!$A$2:$D$98,3,FALSE),"")</x:f>
      </x:c>
      <x:c r="H176" s="64"/>
      <x:c r="I176" s="118" t="str">
        <x:f>IF(H176="","",IF(H176="Rất không thích",-2,IF(H176="Không thích",-1,IF(H176="Bình thường",0,IF(H176="Thích",1,IF(H176="Rất thích",2,""))))))</x:f>
      </x:c>
      <x:c r="J176" s="64"/>
      <x:c r="K176" s="64"/>
      <x:c r="L176" s="64"/>
      <x:c r="M176" s="64" t="str">
        <x:f>IF(OR(I176="",K176="",L176=""),"",I176*IF(K176="0 - Chưa từng",0,IF(K176="1 - Ít trải nghiệm",1/3,IF(K176="2 - Có trải nghiệm",2/3,1)))*(L176/5))</x:f>
      </x:c>
      <x:c r="N176" s="131"/>
    </x:row>
    <x:row r="177">
      <x:c r="A177" s="117"/>
      <x:c r="B177" s="118"/>
      <x:c r="C177" s="64"/>
      <x:c r="D177" s="64"/>
      <x:c r="E177" s="64"/>
      <x:c r="F177" s="64" t="str">
        <x:f>IFERROR(VLOOKUP(E177,'Hành động chung'!$A$2:$D$98,2,FALSE),"")</x:f>
      </x:c>
      <x:c r="G177" s="64" t="str">
        <x:f>IFERROR(VLOOKUP(E177,'Hành động chung'!$A$2:$D$98,3,FALSE),"")</x:f>
      </x:c>
      <x:c r="H177" s="64"/>
      <x:c r="I177" s="118" t="str">
        <x:f>IF(H177="","",IF(H177="Rất không thích",-2,IF(H177="Không thích",-1,IF(H177="Bình thường",0,IF(H177="Thích",1,IF(H177="Rất thích",2,""))))))</x:f>
      </x:c>
      <x:c r="J177" s="64"/>
      <x:c r="K177" s="64"/>
      <x:c r="L177" s="64"/>
      <x:c r="M177" s="64" t="str">
        <x:f>IF(OR(I177="",K177="",L177=""),"",I177*IF(K177="0 - Chưa từng",0,IF(K177="1 - Ít trải nghiệm",1/3,IF(K177="2 - Có trải nghiệm",2/3,1)))*(L177/5))</x:f>
      </x:c>
      <x:c r="N177" s="131"/>
    </x:row>
    <x:row r="178">
      <x:c r="A178" s="117"/>
      <x:c r="B178" s="118"/>
      <x:c r="C178" s="64"/>
      <x:c r="D178" s="64"/>
      <x:c r="E178" s="64"/>
      <x:c r="F178" s="64" t="str">
        <x:f>IFERROR(VLOOKUP(E178,'Hành động chung'!$A$2:$D$98,2,FALSE),"")</x:f>
      </x:c>
      <x:c r="G178" s="64" t="str">
        <x:f>IFERROR(VLOOKUP(E178,'Hành động chung'!$A$2:$D$98,3,FALSE),"")</x:f>
      </x:c>
      <x:c r="H178" s="64"/>
      <x:c r="I178" s="118" t="str">
        <x:f>IF(H178="","",IF(H178="Rất không thích",-2,IF(H178="Không thích",-1,IF(H178="Bình thường",0,IF(H178="Thích",1,IF(H178="Rất thích",2,""))))))</x:f>
      </x:c>
      <x:c r="J178" s="64"/>
      <x:c r="K178" s="64"/>
      <x:c r="L178" s="64"/>
      <x:c r="M178" s="64" t="str">
        <x:f>IF(OR(I178="",K178="",L178=""),"",I178*IF(K178="0 - Chưa từng",0,IF(K178="1 - Ít trải nghiệm",1/3,IF(K178="2 - Có trải nghiệm",2/3,1)))*(L178/5))</x:f>
      </x:c>
      <x:c r="N178" s="131"/>
    </x:row>
    <x:row r="179">
      <x:c r="A179" s="117"/>
      <x:c r="B179" s="118"/>
      <x:c r="C179" s="64"/>
      <x:c r="D179" s="64"/>
      <x:c r="E179" s="64"/>
      <x:c r="F179" s="64" t="str">
        <x:f>IFERROR(VLOOKUP(E179,'Hành động chung'!$A$2:$D$98,2,FALSE),"")</x:f>
      </x:c>
      <x:c r="G179" s="64" t="str">
        <x:f>IFERROR(VLOOKUP(E179,'Hành động chung'!$A$2:$D$98,3,FALSE),"")</x:f>
      </x:c>
      <x:c r="H179" s="64"/>
      <x:c r="I179" s="118" t="str">
        <x:f>IF(H179="","",IF(H179="Rất không thích",-2,IF(H179="Không thích",-1,IF(H179="Bình thường",0,IF(H179="Thích",1,IF(H179="Rất thích",2,""))))))</x:f>
      </x:c>
      <x:c r="J179" s="64"/>
      <x:c r="K179" s="64"/>
      <x:c r="L179" s="64"/>
      <x:c r="M179" s="64" t="str">
        <x:f>IF(OR(I179="",K179="",L179=""),"",I179*IF(K179="0 - Chưa từng",0,IF(K179="1 - Ít trải nghiệm",1/3,IF(K179="2 - Có trải nghiệm",2/3,1)))*(L179/5))</x:f>
      </x:c>
      <x:c r="N179" s="131"/>
    </x:row>
    <x:row r="180">
      <x:c r="A180" s="117"/>
      <x:c r="B180" s="118"/>
      <x:c r="C180" s="64"/>
      <x:c r="D180" s="64"/>
      <x:c r="E180" s="64"/>
      <x:c r="F180" s="64" t="str">
        <x:f>IFERROR(VLOOKUP(E180,'Hành động chung'!$A$2:$D$98,2,FALSE),"")</x:f>
      </x:c>
      <x:c r="G180" s="64" t="str">
        <x:f>IFERROR(VLOOKUP(E180,'Hành động chung'!$A$2:$D$98,3,FALSE),"")</x:f>
      </x:c>
      <x:c r="H180" s="64"/>
      <x:c r="I180" s="118" t="str">
        <x:f>IF(H180="","",IF(H180="Rất không thích",-2,IF(H180="Không thích",-1,IF(H180="Bình thường",0,IF(H180="Thích",1,IF(H180="Rất thích",2,""))))))</x:f>
      </x:c>
      <x:c r="J180" s="64"/>
      <x:c r="K180" s="64"/>
      <x:c r="L180" s="64"/>
      <x:c r="M180" s="64" t="str">
        <x:f>IF(OR(I180="",K180="",L180=""),"",I180*IF(K180="0 - Chưa từng",0,IF(K180="1 - Ít trải nghiệm",1/3,IF(K180="2 - Có trải nghiệm",2/3,1)))*(L180/5))</x:f>
      </x:c>
      <x:c r="N180" s="131"/>
    </x:row>
    <x:row r="181">
      <x:c r="A181" s="117"/>
      <x:c r="B181" s="118"/>
      <x:c r="C181" s="64"/>
      <x:c r="D181" s="64"/>
      <x:c r="E181" s="64"/>
      <x:c r="F181" s="64" t="str">
        <x:f>IFERROR(VLOOKUP(E181,'Hành động chung'!$A$2:$D$98,2,FALSE),"")</x:f>
      </x:c>
      <x:c r="G181" s="64" t="str">
        <x:f>IFERROR(VLOOKUP(E181,'Hành động chung'!$A$2:$D$98,3,FALSE),"")</x:f>
      </x:c>
      <x:c r="H181" s="64"/>
      <x:c r="I181" s="118" t="str">
        <x:f>IF(H181="","",IF(H181="Rất không thích",-2,IF(H181="Không thích",-1,IF(H181="Bình thường",0,IF(H181="Thích",1,IF(H181="Rất thích",2,""))))))</x:f>
      </x:c>
      <x:c r="J181" s="64"/>
      <x:c r="K181" s="64"/>
      <x:c r="L181" s="64"/>
      <x:c r="M181" s="64" t="str">
        <x:f>IF(OR(I181="",K181="",L181=""),"",I181*IF(K181="0 - Chưa từng",0,IF(K181="1 - Ít trải nghiệm",1/3,IF(K181="2 - Có trải nghiệm",2/3,1)))*(L181/5))</x:f>
      </x:c>
      <x:c r="N181" s="131"/>
    </x:row>
    <x:row r="182">
      <x:c r="A182" s="117"/>
      <x:c r="B182" s="118"/>
      <x:c r="C182" s="64"/>
      <x:c r="D182" s="64"/>
      <x:c r="E182" s="64"/>
      <x:c r="F182" s="64" t="str">
        <x:f>IFERROR(VLOOKUP(E182,'Hành động chung'!$A$2:$D$98,2,FALSE),"")</x:f>
      </x:c>
      <x:c r="G182" s="64" t="str">
        <x:f>IFERROR(VLOOKUP(E182,'Hành động chung'!$A$2:$D$98,3,FALSE),"")</x:f>
      </x:c>
      <x:c r="H182" s="64"/>
      <x:c r="I182" s="118" t="str">
        <x:f>IF(H182="","",IF(H182="Rất không thích",-2,IF(H182="Không thích",-1,IF(H182="Bình thường",0,IF(H182="Thích",1,IF(H182="Rất thích",2,""))))))</x:f>
      </x:c>
      <x:c r="J182" s="64"/>
      <x:c r="K182" s="64"/>
      <x:c r="L182" s="64"/>
      <x:c r="M182" s="64" t="str">
        <x:f>IF(OR(I182="",K182="",L182=""),"",I182*IF(K182="0 - Chưa từng",0,IF(K182="1 - Ít trải nghiệm",1/3,IF(K182="2 - Có trải nghiệm",2/3,1)))*(L182/5))</x:f>
      </x:c>
      <x:c r="N182" s="131"/>
    </x:row>
    <x:row r="183">
      <x:c r="A183" s="117"/>
      <x:c r="B183" s="118"/>
      <x:c r="C183" s="64"/>
      <x:c r="D183" s="64"/>
      <x:c r="E183" s="64"/>
      <x:c r="F183" s="64" t="str">
        <x:f>IFERROR(VLOOKUP(E183,'Hành động chung'!$A$2:$D$98,2,FALSE),"")</x:f>
      </x:c>
      <x:c r="G183" s="64" t="str">
        <x:f>IFERROR(VLOOKUP(E183,'Hành động chung'!$A$2:$D$98,3,FALSE),"")</x:f>
      </x:c>
      <x:c r="H183" s="64"/>
      <x:c r="I183" s="118" t="str">
        <x:f>IF(H183="","",IF(H183="Rất không thích",-2,IF(H183="Không thích",-1,IF(H183="Bình thường",0,IF(H183="Thích",1,IF(H183="Rất thích",2,""))))))</x:f>
      </x:c>
      <x:c r="J183" s="64"/>
      <x:c r="K183" s="64"/>
      <x:c r="L183" s="64"/>
      <x:c r="M183" s="64" t="str">
        <x:f>IF(OR(I183="",K183="",L183=""),"",I183*IF(K183="0 - Chưa từng",0,IF(K183="1 - Ít trải nghiệm",1/3,IF(K183="2 - Có trải nghiệm",2/3,1)))*(L183/5))</x:f>
      </x:c>
      <x:c r="N183" s="131"/>
    </x:row>
    <x:row r="184">
      <x:c r="A184" s="117"/>
      <x:c r="B184" s="118"/>
      <x:c r="C184" s="64"/>
      <x:c r="D184" s="64"/>
      <x:c r="E184" s="64"/>
      <x:c r="F184" s="64" t="str">
        <x:f>IFERROR(VLOOKUP(E184,'Hành động chung'!$A$2:$D$98,2,FALSE),"")</x:f>
      </x:c>
      <x:c r="G184" s="64" t="str">
        <x:f>IFERROR(VLOOKUP(E184,'Hành động chung'!$A$2:$D$98,3,FALSE),"")</x:f>
      </x:c>
      <x:c r="H184" s="64"/>
      <x:c r="I184" s="118" t="str">
        <x:f>IF(H184="","",IF(H184="Rất không thích",-2,IF(H184="Không thích",-1,IF(H184="Bình thường",0,IF(H184="Thích",1,IF(H184="Rất thích",2,""))))))</x:f>
      </x:c>
      <x:c r="J184" s="64"/>
      <x:c r="K184" s="64"/>
      <x:c r="L184" s="64"/>
      <x:c r="M184" s="64" t="str">
        <x:f>IF(OR(I184="",K184="",L184=""),"",I184*IF(K184="0 - Chưa từng",0,IF(K184="1 - Ít trải nghiệm",1/3,IF(K184="2 - Có trải nghiệm",2/3,1)))*(L184/5))</x:f>
      </x:c>
      <x:c r="N184" s="131"/>
    </x:row>
    <x:row r="185">
      <x:c r="A185" s="117"/>
      <x:c r="B185" s="118"/>
      <x:c r="C185" s="64"/>
      <x:c r="D185" s="64"/>
      <x:c r="E185" s="64"/>
      <x:c r="F185" s="64" t="str">
        <x:f>IFERROR(VLOOKUP(E185,'Hành động chung'!$A$2:$D$98,2,FALSE),"")</x:f>
      </x:c>
      <x:c r="G185" s="64" t="str">
        <x:f>IFERROR(VLOOKUP(E185,'Hành động chung'!$A$2:$D$98,3,FALSE),"")</x:f>
      </x:c>
      <x:c r="H185" s="64"/>
      <x:c r="I185" s="118" t="str">
        <x:f>IF(H185="","",IF(H185="Rất không thích",-2,IF(H185="Không thích",-1,IF(H185="Bình thường",0,IF(H185="Thích",1,IF(H185="Rất thích",2,""))))))</x:f>
      </x:c>
      <x:c r="J185" s="64"/>
      <x:c r="K185" s="64"/>
      <x:c r="L185" s="64"/>
      <x:c r="M185" s="64" t="str">
        <x:f>IF(OR(I185="",K185="",L185=""),"",I185*IF(K185="0 - Chưa từng",0,IF(K185="1 - Ít trải nghiệm",1/3,IF(K185="2 - Có trải nghiệm",2/3,1)))*(L185/5))</x:f>
      </x:c>
      <x:c r="N185" s="131"/>
    </x:row>
    <x:row r="186">
      <x:c r="A186" s="117"/>
      <x:c r="B186" s="118"/>
      <x:c r="C186" s="64"/>
      <x:c r="D186" s="64"/>
      <x:c r="E186" s="64"/>
      <x:c r="F186" s="64" t="str">
        <x:f>IFERROR(VLOOKUP(E186,'Hành động chung'!$A$2:$D$98,2,FALSE),"")</x:f>
      </x:c>
      <x:c r="G186" s="64" t="str">
        <x:f>IFERROR(VLOOKUP(E186,'Hành động chung'!$A$2:$D$98,3,FALSE),"")</x:f>
      </x:c>
      <x:c r="H186" s="64"/>
      <x:c r="I186" s="118" t="str">
        <x:f>IF(H186="","",IF(H186="Rất không thích",-2,IF(H186="Không thích",-1,IF(H186="Bình thường",0,IF(H186="Thích",1,IF(H186="Rất thích",2,""))))))</x:f>
      </x:c>
      <x:c r="J186" s="64"/>
      <x:c r="K186" s="64"/>
      <x:c r="L186" s="64"/>
      <x:c r="M186" s="64" t="str">
        <x:f>IF(OR(I186="",K186="",L186=""),"",I186*IF(K186="0 - Chưa từng",0,IF(K186="1 - Ít trải nghiệm",1/3,IF(K186="2 - Có trải nghiệm",2/3,1)))*(L186/5))</x:f>
      </x:c>
      <x:c r="N186" s="131"/>
    </x:row>
    <x:row r="187">
      <x:c r="A187" s="117"/>
      <x:c r="B187" s="118"/>
      <x:c r="C187" s="64"/>
      <x:c r="D187" s="64"/>
      <x:c r="E187" s="64"/>
      <x:c r="F187" s="64" t="str">
        <x:f>IFERROR(VLOOKUP(E187,'Hành động chung'!$A$2:$D$98,2,FALSE),"")</x:f>
      </x:c>
      <x:c r="G187" s="64" t="str">
        <x:f>IFERROR(VLOOKUP(E187,'Hành động chung'!$A$2:$D$98,3,FALSE),"")</x:f>
      </x:c>
      <x:c r="H187" s="64"/>
      <x:c r="I187" s="118" t="str">
        <x:f>IF(H187="","",IF(H187="Rất không thích",-2,IF(H187="Không thích",-1,IF(H187="Bình thường",0,IF(H187="Thích",1,IF(H187="Rất thích",2,""))))))</x:f>
      </x:c>
      <x:c r="J187" s="64"/>
      <x:c r="K187" s="64"/>
      <x:c r="L187" s="64"/>
      <x:c r="M187" s="64" t="str">
        <x:f>IF(OR(I187="",K187="",L187=""),"",I187*IF(K187="0 - Chưa từng",0,IF(K187="1 - Ít trải nghiệm",1/3,IF(K187="2 - Có trải nghiệm",2/3,1)))*(L187/5))</x:f>
      </x:c>
      <x:c r="N187" s="131"/>
    </x:row>
    <x:row r="188">
      <x:c r="A188" s="117"/>
      <x:c r="B188" s="118"/>
      <x:c r="C188" s="64"/>
      <x:c r="D188" s="64"/>
      <x:c r="E188" s="64"/>
      <x:c r="F188" s="64" t="str">
        <x:f>IFERROR(VLOOKUP(E188,'Hành động chung'!$A$2:$D$98,2,FALSE),"")</x:f>
      </x:c>
      <x:c r="G188" s="64" t="str">
        <x:f>IFERROR(VLOOKUP(E188,'Hành động chung'!$A$2:$D$98,3,FALSE),"")</x:f>
      </x:c>
      <x:c r="H188" s="64"/>
      <x:c r="I188" s="118" t="str">
        <x:f>IF(H188="","",IF(H188="Rất không thích",-2,IF(H188="Không thích",-1,IF(H188="Bình thường",0,IF(H188="Thích",1,IF(H188="Rất thích",2,""))))))</x:f>
      </x:c>
      <x:c r="J188" s="64"/>
      <x:c r="K188" s="64"/>
      <x:c r="L188" s="64"/>
      <x:c r="M188" s="64" t="str">
        <x:f>IF(OR(I188="",K188="",L188=""),"",I188*IF(K188="0 - Chưa từng",0,IF(K188="1 - Ít trải nghiệm",1/3,IF(K188="2 - Có trải nghiệm",2/3,1)))*(L188/5))</x:f>
      </x:c>
      <x:c r="N188" s="131"/>
    </x:row>
    <x:row r="189">
      <x:c r="A189" s="117"/>
      <x:c r="B189" s="118"/>
      <x:c r="C189" s="64"/>
      <x:c r="D189" s="64"/>
      <x:c r="E189" s="64"/>
      <x:c r="F189" s="64" t="str">
        <x:f>IFERROR(VLOOKUP(E189,'Hành động chung'!$A$2:$D$98,2,FALSE),"")</x:f>
      </x:c>
      <x:c r="G189" s="64" t="str">
        <x:f>IFERROR(VLOOKUP(E189,'Hành động chung'!$A$2:$D$98,3,FALSE),"")</x:f>
      </x:c>
      <x:c r="H189" s="64"/>
      <x:c r="I189" s="118" t="str">
        <x:f>IF(H189="","",IF(H189="Rất không thích",-2,IF(H189="Không thích",-1,IF(H189="Bình thường",0,IF(H189="Thích",1,IF(H189="Rất thích",2,""))))))</x:f>
      </x:c>
      <x:c r="J189" s="64"/>
      <x:c r="K189" s="64"/>
      <x:c r="L189" s="64"/>
      <x:c r="M189" s="64" t="str">
        <x:f>IF(OR(I189="",K189="",L189=""),"",I189*IF(K189="0 - Chưa từng",0,IF(K189="1 - Ít trải nghiệm",1/3,IF(K189="2 - Có trải nghiệm",2/3,1)))*(L189/5))</x:f>
      </x:c>
      <x:c r="N189" s="131"/>
    </x:row>
    <x:row r="190">
      <x:c r="A190" s="117"/>
      <x:c r="B190" s="118"/>
      <x:c r="C190" s="64"/>
      <x:c r="D190" s="64"/>
      <x:c r="E190" s="64"/>
      <x:c r="F190" s="64" t="str">
        <x:f>IFERROR(VLOOKUP(E190,'Hành động chung'!$A$2:$D$98,2,FALSE),"")</x:f>
      </x:c>
      <x:c r="G190" s="64" t="str">
        <x:f>IFERROR(VLOOKUP(E190,'Hành động chung'!$A$2:$D$98,3,FALSE),"")</x:f>
      </x:c>
      <x:c r="H190" s="64"/>
      <x:c r="I190" s="118" t="str">
        <x:f>IF(H190="","",IF(H190="Rất không thích",-2,IF(H190="Không thích",-1,IF(H190="Bình thường",0,IF(H190="Thích",1,IF(H190="Rất thích",2,""))))))</x:f>
      </x:c>
      <x:c r="J190" s="64"/>
      <x:c r="K190" s="64"/>
      <x:c r="L190" s="64"/>
      <x:c r="M190" s="64" t="str">
        <x:f>IF(OR(I190="",K190="",L190=""),"",I190*IF(K190="0 - Chưa từng",0,IF(K190="1 - Ít trải nghiệm",1/3,IF(K190="2 - Có trải nghiệm",2/3,1)))*(L190/5))</x:f>
      </x:c>
      <x:c r="N190" s="131"/>
    </x:row>
    <x:row r="191">
      <x:c r="A191" s="117"/>
      <x:c r="B191" s="118"/>
      <x:c r="C191" s="64"/>
      <x:c r="D191" s="64"/>
      <x:c r="E191" s="64"/>
      <x:c r="F191" s="64" t="str">
        <x:f>IFERROR(VLOOKUP(E191,'Hành động chung'!$A$2:$D$98,2,FALSE),"")</x:f>
      </x:c>
      <x:c r="G191" s="64" t="str">
        <x:f>IFERROR(VLOOKUP(E191,'Hành động chung'!$A$2:$D$98,3,FALSE),"")</x:f>
      </x:c>
      <x:c r="H191" s="64"/>
      <x:c r="I191" s="118" t="str">
        <x:f>IF(H191="","",IF(H191="Rất không thích",-2,IF(H191="Không thích",-1,IF(H191="Bình thường",0,IF(H191="Thích",1,IF(H191="Rất thích",2,""))))))</x:f>
      </x:c>
      <x:c r="J191" s="64"/>
      <x:c r="K191" s="64"/>
      <x:c r="L191" s="64"/>
      <x:c r="M191" s="64" t="str">
        <x:f>IF(OR(I191="",K191="",L191=""),"",I191*IF(K191="0 - Chưa từng",0,IF(K191="1 - Ít trải nghiệm",1/3,IF(K191="2 - Có trải nghiệm",2/3,1)))*(L191/5))</x:f>
      </x:c>
      <x:c r="N191" s="131"/>
    </x:row>
    <x:row r="192">
      <x:c r="A192" s="117"/>
      <x:c r="B192" s="118"/>
      <x:c r="C192" s="64"/>
      <x:c r="D192" s="64"/>
      <x:c r="E192" s="64"/>
      <x:c r="F192" s="64" t="str">
        <x:f>IFERROR(VLOOKUP(E192,'Hành động chung'!$A$2:$D$98,2,FALSE),"")</x:f>
      </x:c>
      <x:c r="G192" s="64" t="str">
        <x:f>IFERROR(VLOOKUP(E192,'Hành động chung'!$A$2:$D$98,3,FALSE),"")</x:f>
      </x:c>
      <x:c r="H192" s="64"/>
      <x:c r="I192" s="118" t="str">
        <x:f>IF(H192="","",IF(H192="Rất không thích",-2,IF(H192="Không thích",-1,IF(H192="Bình thường",0,IF(H192="Thích",1,IF(H192="Rất thích",2,""))))))</x:f>
      </x:c>
      <x:c r="J192" s="64"/>
      <x:c r="K192" s="64"/>
      <x:c r="L192" s="64"/>
      <x:c r="M192" s="64" t="str">
        <x:f>IF(OR(I192="",K192="",L192=""),"",I192*IF(K192="0 - Chưa từng",0,IF(K192="1 - Ít trải nghiệm",1/3,IF(K192="2 - Có trải nghiệm",2/3,1)))*(L192/5))</x:f>
      </x:c>
      <x:c r="N192" s="131"/>
    </x:row>
    <x:row r="193">
      <x:c r="A193" s="117"/>
      <x:c r="B193" s="118"/>
      <x:c r="C193" s="64"/>
      <x:c r="D193" s="64"/>
      <x:c r="E193" s="64"/>
      <x:c r="F193" s="64" t="str">
        <x:f>IFERROR(VLOOKUP(E193,'Hành động chung'!$A$2:$D$98,2,FALSE),"")</x:f>
      </x:c>
      <x:c r="G193" s="64" t="str">
        <x:f>IFERROR(VLOOKUP(E193,'Hành động chung'!$A$2:$D$98,3,FALSE),"")</x:f>
      </x:c>
      <x:c r="H193" s="64"/>
      <x:c r="I193" s="118" t="str">
        <x:f>IF(H193="","",IF(H193="Rất không thích",-2,IF(H193="Không thích",-1,IF(H193="Bình thường",0,IF(H193="Thích",1,IF(H193="Rất thích",2,""))))))</x:f>
      </x:c>
      <x:c r="J193" s="64"/>
      <x:c r="K193" s="64"/>
      <x:c r="L193" s="64"/>
      <x:c r="M193" s="64" t="str">
        <x:f>IF(OR(I193="",K193="",L193=""),"",I193*IF(K193="0 - Chưa từng",0,IF(K193="1 - Ít trải nghiệm",1/3,IF(K193="2 - Có trải nghiệm",2/3,1)))*(L193/5))</x:f>
      </x:c>
      <x:c r="N193" s="131"/>
    </x:row>
    <x:row r="194">
      <x:c r="A194" s="117"/>
      <x:c r="B194" s="118"/>
      <x:c r="C194" s="64"/>
      <x:c r="D194" s="64"/>
      <x:c r="E194" s="64"/>
      <x:c r="F194" s="64" t="str">
        <x:f>IFERROR(VLOOKUP(E194,'Hành động chung'!$A$2:$D$98,2,FALSE),"")</x:f>
      </x:c>
      <x:c r="G194" s="64" t="str">
        <x:f>IFERROR(VLOOKUP(E194,'Hành động chung'!$A$2:$D$98,3,FALSE),"")</x:f>
      </x:c>
      <x:c r="H194" s="64"/>
      <x:c r="I194" s="118" t="str">
        <x:f>IF(H194="","",IF(H194="Rất không thích",-2,IF(H194="Không thích",-1,IF(H194="Bình thường",0,IF(H194="Thích",1,IF(H194="Rất thích",2,""))))))</x:f>
      </x:c>
      <x:c r="J194" s="64"/>
      <x:c r="K194" s="64"/>
      <x:c r="L194" s="64"/>
      <x:c r="M194" s="64" t="str">
        <x:f>IF(OR(I194="",K194="",L194=""),"",I194*IF(K194="0 - Chưa từng",0,IF(K194="1 - Ít trải nghiệm",1/3,IF(K194="2 - Có trải nghiệm",2/3,1)))*(L194/5))</x:f>
      </x:c>
      <x:c r="N194" s="131"/>
    </x:row>
    <x:row r="195">
      <x:c r="A195" s="117"/>
      <x:c r="B195" s="118"/>
      <x:c r="C195" s="64"/>
      <x:c r="D195" s="64"/>
      <x:c r="E195" s="64"/>
      <x:c r="F195" s="64" t="str">
        <x:f>IFERROR(VLOOKUP(E195,'Hành động chung'!$A$2:$D$98,2,FALSE),"")</x:f>
      </x:c>
      <x:c r="G195" s="64" t="str">
        <x:f>IFERROR(VLOOKUP(E195,'Hành động chung'!$A$2:$D$98,3,FALSE),"")</x:f>
      </x:c>
      <x:c r="H195" s="64"/>
      <x:c r="I195" s="118" t="str">
        <x:f>IF(H195="","",IF(H195="Rất không thích",-2,IF(H195="Không thích",-1,IF(H195="Bình thường",0,IF(H195="Thích",1,IF(H195="Rất thích",2,""))))))</x:f>
      </x:c>
      <x:c r="J195" s="64"/>
      <x:c r="K195" s="64"/>
      <x:c r="L195" s="64"/>
      <x:c r="M195" s="64" t="str">
        <x:f>IF(OR(I195="",K195="",L195=""),"",I195*IF(K195="0 - Chưa từng",0,IF(K195="1 - Ít trải nghiệm",1/3,IF(K195="2 - Có trải nghiệm",2/3,1)))*(L195/5))</x:f>
      </x:c>
      <x:c r="N195" s="131"/>
    </x:row>
    <x:row r="196">
      <x:c r="A196" s="117"/>
      <x:c r="B196" s="118"/>
      <x:c r="C196" s="64"/>
      <x:c r="D196" s="64"/>
      <x:c r="E196" s="64"/>
      <x:c r="F196" s="64" t="str">
        <x:f>IFERROR(VLOOKUP(E196,'Hành động chung'!$A$2:$D$98,2,FALSE),"")</x:f>
      </x:c>
      <x:c r="G196" s="64" t="str">
        <x:f>IFERROR(VLOOKUP(E196,'Hành động chung'!$A$2:$D$98,3,FALSE),"")</x:f>
      </x:c>
      <x:c r="H196" s="64"/>
      <x:c r="I196" s="118" t="str">
        <x:f>IF(H196="","",IF(H196="Rất không thích",-2,IF(H196="Không thích",-1,IF(H196="Bình thường",0,IF(H196="Thích",1,IF(H196="Rất thích",2,""))))))</x:f>
      </x:c>
      <x:c r="J196" s="64"/>
      <x:c r="K196" s="64"/>
      <x:c r="L196" s="64"/>
      <x:c r="M196" s="64" t="str">
        <x:f>IF(OR(I196="",K196="",L196=""),"",I196*IF(K196="0 - Chưa từng",0,IF(K196="1 - Ít trải nghiệm",1/3,IF(K196="2 - Có trải nghiệm",2/3,1)))*(L196/5))</x:f>
      </x:c>
      <x:c r="N196" s="131"/>
    </x:row>
    <x:row r="197">
      <x:c r="A197" s="117"/>
      <x:c r="B197" s="118"/>
      <x:c r="C197" s="64"/>
      <x:c r="D197" s="64"/>
      <x:c r="E197" s="64"/>
      <x:c r="F197" s="64" t="str">
        <x:f>IFERROR(VLOOKUP(E197,'Hành động chung'!$A$2:$D$98,2,FALSE),"")</x:f>
      </x:c>
      <x:c r="G197" s="64" t="str">
        <x:f>IFERROR(VLOOKUP(E197,'Hành động chung'!$A$2:$D$98,3,FALSE),"")</x:f>
      </x:c>
      <x:c r="H197" s="64"/>
      <x:c r="I197" s="118" t="str">
        <x:f>IF(H197="","",IF(H197="Rất không thích",-2,IF(H197="Không thích",-1,IF(H197="Bình thường",0,IF(H197="Thích",1,IF(H197="Rất thích",2,""))))))</x:f>
      </x:c>
      <x:c r="J197" s="64"/>
      <x:c r="K197" s="64"/>
      <x:c r="L197" s="64"/>
      <x:c r="M197" s="64" t="str">
        <x:f>IF(OR(I197="",K197="",L197=""),"",I197*IF(K197="0 - Chưa từng",0,IF(K197="1 - Ít trải nghiệm",1/3,IF(K197="2 - Có trải nghiệm",2/3,1)))*(L197/5))</x:f>
      </x:c>
      <x:c r="N197" s="131"/>
    </x:row>
    <x:row r="198">
      <x:c r="A198" s="117"/>
      <x:c r="B198" s="118"/>
      <x:c r="C198" s="64"/>
      <x:c r="D198" s="64"/>
      <x:c r="E198" s="64"/>
      <x:c r="F198" s="64" t="str">
        <x:f>IFERROR(VLOOKUP(E198,'Hành động chung'!$A$2:$D$98,2,FALSE),"")</x:f>
      </x:c>
      <x:c r="G198" s="64" t="str">
        <x:f>IFERROR(VLOOKUP(E198,'Hành động chung'!$A$2:$D$98,3,FALSE),"")</x:f>
      </x:c>
      <x:c r="H198" s="64"/>
      <x:c r="I198" s="118" t="str">
        <x:f>IF(H198="","",IF(H198="Rất không thích",-2,IF(H198="Không thích",-1,IF(H198="Bình thường",0,IF(H198="Thích",1,IF(H198="Rất thích",2,""))))))</x:f>
      </x:c>
      <x:c r="J198" s="64"/>
      <x:c r="K198" s="64"/>
      <x:c r="L198" s="64"/>
      <x:c r="M198" s="64" t="str">
        <x:f>IF(OR(I198="",K198="",L198=""),"",I198*IF(K198="0 - Chưa từng",0,IF(K198="1 - Ít trải nghiệm",1/3,IF(K198="2 - Có trải nghiệm",2/3,1)))*(L198/5))</x:f>
      </x:c>
      <x:c r="N198" s="131"/>
    </x:row>
    <x:row r="199">
      <x:c r="A199" s="117"/>
      <x:c r="B199" s="118"/>
      <x:c r="C199" s="64"/>
      <x:c r="D199" s="64"/>
      <x:c r="E199" s="64"/>
      <x:c r="F199" s="64" t="str">
        <x:f>IFERROR(VLOOKUP(E199,'Hành động chung'!$A$2:$D$98,2,FALSE),"")</x:f>
      </x:c>
      <x:c r="G199" s="64" t="str">
        <x:f>IFERROR(VLOOKUP(E199,'Hành động chung'!$A$2:$D$98,3,FALSE),"")</x:f>
      </x:c>
      <x:c r="H199" s="64"/>
      <x:c r="I199" s="118" t="str">
        <x:f>IF(H199="","",IF(H199="Rất không thích",-2,IF(H199="Không thích",-1,IF(H199="Bình thường",0,IF(H199="Thích",1,IF(H199="Rất thích",2,""))))))</x:f>
      </x:c>
      <x:c r="J199" s="64"/>
      <x:c r="K199" s="64"/>
      <x:c r="L199" s="64"/>
      <x:c r="M199" s="64" t="str">
        <x:f>IF(OR(I199="",K199="",L199=""),"",I199*IF(K199="0 - Chưa từng",0,IF(K199="1 - Ít trải nghiệm",1/3,IF(K199="2 - Có trải nghiệm",2/3,1)))*(L199/5))</x:f>
      </x:c>
      <x:c r="N199" s="131"/>
    </x:row>
    <x:row r="200">
      <x:c r="A200" s="117"/>
      <x:c r="B200" s="118"/>
      <x:c r="C200" s="64"/>
      <x:c r="D200" s="64"/>
      <x:c r="E200" s="64"/>
      <x:c r="F200" s="64" t="str">
        <x:f>IFERROR(VLOOKUP(E200,'Hành động chung'!$A$2:$D$98,2,FALSE),"")</x:f>
      </x:c>
      <x:c r="G200" s="64" t="str">
        <x:f>IFERROR(VLOOKUP(E200,'Hành động chung'!$A$2:$D$98,3,FALSE),"")</x:f>
      </x:c>
      <x:c r="H200" s="64"/>
      <x:c r="I200" s="118" t="str">
        <x:f>IF(H200="","",IF(H200="Rất không thích",-2,IF(H200="Không thích",-1,IF(H200="Bình thường",0,IF(H200="Thích",1,IF(H200="Rất thích",2,""))))))</x:f>
      </x:c>
      <x:c r="J200" s="64"/>
      <x:c r="K200" s="64"/>
      <x:c r="L200" s="64"/>
      <x:c r="M200" s="64" t="str">
        <x:f>IF(OR(I200="",K200="",L200=""),"",I200*IF(K200="0 - Chưa từng",0,IF(K200="1 - Ít trải nghiệm",1/3,IF(K200="2 - Có trải nghiệm",2/3,1)))*(L200/5))</x:f>
      </x:c>
      <x:c r="N200" s="131"/>
    </x:row>
    <x:row r="201">
      <x:c r="A201" s="120"/>
      <x:c r="B201" s="121"/>
      <x:c r="C201" s="129"/>
      <x:c r="D201" s="129"/>
      <x:c r="E201" s="129"/>
      <x:c r="F201" s="129" t="str">
        <x:f>IFERROR(VLOOKUP(E201,'Hành động chung'!$A$2:$D$98,2,FALSE),"")</x:f>
      </x:c>
      <x:c r="G201" s="129" t="str">
        <x:f>IFERROR(VLOOKUP(E201,'Hành động chung'!$A$2:$D$98,3,FALSE),"")</x:f>
      </x:c>
      <x:c r="H201" s="129"/>
      <x:c r="I201" s="121" t="str">
        <x:f>IF(H201="","",IF(H201="Rất không thích",-2,IF(H201="Không thích",-1,IF(H201="Bình thường",0,IF(H201="Thích",1,IF(H201="Rất thích",2,""))))))</x:f>
      </x:c>
      <x:c r="J201" s="129"/>
      <x:c r="K201" s="129"/>
      <x:c r="L201" s="129"/>
      <x:c r="M201" s="129" t="str">
        <x:f>IF(OR(I201="",K201="",L201=""),"",I201*IF(K201="0 - Chưa từng",0,IF(K201="1 - Ít trải nghiệm",1/3,IF(K201="2 - Có trải nghiệm",2/3,1)))*(L201/5))</x:f>
      </x:c>
      <x:c r="N201" s="132"/>
    </x:row>
  </x:sheetData>
  <x:conditionalFormatting sqref="I2:I20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M2:M201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dataValidations count="5">
    <x:dataValidation type="list" sqref="B2:B201">
      <x:formula1>"6,7,8,9,10,11,12"</x:formula1>
    </x:dataValidation>
    <x:dataValidation type="list" sqref="E2:E201">
      <x:formula1>'Hành động chung'!$A$2:$A$98</x:formula1>
    </x:dataValidation>
    <x:dataValidation type="list" sqref="H2:H201">
      <x:formula1>"Rất không thích,Không thích,Bình thường,Thích,Rất thích"</x:formula1>
    </x:dataValidation>
    <x:dataValidation type="list" sqref="K2:K201">
      <x:formula1>"0 - Chưa từng,1 - Ít trải nghiệm,2 - Có trải nghiệm,3 - Thành thạo"</x:formula1>
    </x:dataValidation>
    <x:dataValidation type="list" sqref="L2:L201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5c06eacb5b4da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20" hidden="0" customWidth="1"/>
    <x:col min="4" max="4" width="24" hidden="0" customWidth="1"/>
  </x:cols>
  <x:sheetData>
    <x:row r="1">
      <x:c r="A1" s="137" t="str">
        <x:v>TỔNG HỢP PHẢN HỒI THEO NHÓM HÀNH ĐỘNG</x:v>
      </x:c>
      <x:c r="B1" s="137"/>
      <x:c r="C1" s="137"/>
      <x:c r="D1" s="137"/>
    </x:row>
    <x:row r="3">
      <x:c r="A3" s="20" t="str">
        <x:v>Nhóm hành động</x:v>
      </x:c>
      <x:c r="B3" s="141" t="str">
        <x:v>Số phản hồi</x:v>
      </x:c>
      <x:c r="C3" s="141" t="str">
        <x:v>Điểm trung bình</x:v>
      </x:c>
      <x:c r="D3" s="21" t="str">
        <x:v>Diễn giải sơ bộ</x:v>
      </x:c>
    </x:row>
    <x:row r="4">
      <x:c r="A4" s="22" t="str">
        <x:v>Khám phá và tìm hiểu</x:v>
      </x:c>
      <x:c r="B4" s="18" t="n">
        <x:f>COUNTIF('Phản hồi học sinh'!$G$2:$G$201,A4)</x:f>
        <x:v>0</x:v>
      </x:c>
      <x:c r="C4" s="155" t="str">
        <x:f>IFERROR(SUMIF('Phản hồi học sinh'!$G$2:$G$201,A4,'Phản hồi học sinh'!$M$2:$M$201)/B4,"")</x:f>
      </x:c>
      <x:c r="D4" s="23" t="str">
        <x:f>IF(C4="","Chưa có dữ liệu",IF(C4&gt;=0.8,"Hứng thú cao",IF(C4&gt;=0.2,"Hứng thú nhẹ",IF(C4&gt;-0.2,"Trung tính",IF(C4&gt;-0.8,"Ít hứng thú","Rất ít hứng thú")))))</x:f>
        <x:v>Chưa có dữ liệu</x:v>
      </x:c>
    </x:row>
    <x:row r="5">
      <x:c r="A5" s="22" t="str">
        <x:v>Phân tích và giải quyết vấn đề</x:v>
      </x:c>
      <x:c r="B5" s="18" t="n">
        <x:f>COUNTIF('Phản hồi học sinh'!$G$2:$G$201,A5)</x:f>
        <x:v>0</x:v>
      </x:c>
      <x:c r="C5" s="155" t="str">
        <x:f>IFERROR(SUMIF('Phản hồi học sinh'!$G$2:$G$201,A5,'Phản hồi học sinh'!$M$2:$M$201)/B5,"")</x:f>
      </x:c>
      <x:c r="D5" s="23" t="str">
        <x:f>IF(C5="","Chưa có dữ liệu",IF(C5&gt;=0.8,"Hứng thú cao",IF(C5&gt;=0.2,"Hứng thú nhẹ",IF(C5&gt;-0.2,"Trung tính",IF(C5&gt;-0.8,"Ít hứng thú","Rất ít hứng thú")))))</x:f>
        <x:v>Chưa có dữ liệu</x:v>
      </x:c>
    </x:row>
    <x:row r="6">
      <x:c r="A6" s="22" t="str">
        <x:v>Sáng tạo và thiết kế</x:v>
      </x:c>
      <x:c r="B6" s="18" t="n">
        <x:f>COUNTIF('Phản hồi học sinh'!$G$2:$G$201,A6)</x:f>
        <x:v>0</x:v>
      </x:c>
      <x:c r="C6" s="155" t="str">
        <x:f>IFERROR(SUMIF('Phản hồi học sinh'!$G$2:$G$201,A6,'Phản hồi học sinh'!$M$2:$M$201)/B6,"")</x:f>
      </x:c>
      <x:c r="D6" s="23" t="str">
        <x:f>IF(C6="","Chưa có dữ liệu",IF(C6&gt;=0.8,"Hứng thú cao",IF(C6&gt;=0.2,"Hứng thú nhẹ",IF(C6&gt;-0.2,"Trung tính",IF(C6&gt;-0.8,"Ít hứng thú","Rất ít hứng thú")))))</x:f>
        <x:v>Chưa có dữ liệu</x:v>
      </x:c>
    </x:row>
    <x:row r="7">
      <x:c r="A7" s="22" t="str">
        <x:v>Lập kế hoạch và tổ chức</x:v>
      </x:c>
      <x:c r="B7" s="18" t="n">
        <x:f>COUNTIF('Phản hồi học sinh'!$G$2:$G$201,A7)</x:f>
        <x:v>0</x:v>
      </x:c>
      <x:c r="C7" s="155" t="str">
        <x:f>IFERROR(SUMIF('Phản hồi học sinh'!$G$2:$G$201,A7,'Phản hồi học sinh'!$M$2:$M$201)/B7,"")</x:f>
      </x:c>
      <x:c r="D7" s="23" t="str">
        <x:f>IF(C7="","Chưa có dữ liệu",IF(C7&gt;=0.8,"Hứng thú cao",IF(C7&gt;=0.2,"Hứng thú nhẹ",IF(C7&gt;-0.2,"Trung tính",IF(C7&gt;-0.8,"Ít hứng thú","Rất ít hứng thú")))))</x:f>
        <x:v>Chưa có dữ liệu</x:v>
      </x:c>
    </x:row>
    <x:row r="8">
      <x:c r="A8" s="22" t="str">
        <x:v>Thực hành và thao tác</x:v>
      </x:c>
      <x:c r="B8" s="18" t="n">
        <x:f>COUNTIF('Phản hồi học sinh'!$G$2:$G$201,A8)</x:f>
        <x:v>0</x:v>
      </x:c>
      <x:c r="C8" s="155" t="str">
        <x:f>IFERROR(SUMIF('Phản hồi học sinh'!$G$2:$G$201,A8,'Phản hồi học sinh'!$M$2:$M$201)/B8,"")</x:f>
      </x:c>
      <x:c r="D8" s="23" t="str">
        <x:f>IF(C8="","Chưa có dữ liệu",IF(C8&gt;=0.8,"Hứng thú cao",IF(C8&gt;=0.2,"Hứng thú nhẹ",IF(C8&gt;-0.2,"Trung tính",IF(C8&gt;-0.8,"Ít hứng thú","Rất ít hứng thú")))))</x:f>
        <x:v>Chưa có dữ liệu</x:v>
      </x:c>
    </x:row>
    <x:row r="9">
      <x:c r="A9" s="22" t="str">
        <x:v>Làm việc với dữ liệu và độ chính xác</x:v>
      </x:c>
      <x:c r="B9" s="18" t="n">
        <x:f>COUNTIF('Phản hồi học sinh'!$G$2:$G$201,A9)</x:f>
        <x:v>0</x:v>
      </x:c>
      <x:c r="C9" s="155" t="str">
        <x:f>IFERROR(SUMIF('Phản hồi học sinh'!$G$2:$G$201,A9,'Phản hồi học sinh'!$M$2:$M$201)/B9,"")</x:f>
      </x:c>
      <x:c r="D9" s="23" t="str">
        <x:f>IF(C9="","Chưa có dữ liệu",IF(C9&gt;=0.8,"Hứng thú cao",IF(C9&gt;=0.2,"Hứng thú nhẹ",IF(C9&gt;-0.2,"Trung tính",IF(C9&gt;-0.8,"Ít hứng thú","Rất ít hứng thú")))))</x:f>
        <x:v>Chưa có dữ liệu</x:v>
      </x:c>
    </x:row>
    <x:row r="10">
      <x:c r="A10" s="22" t="str">
        <x:v>Giao tiếp và hỗ trợ người khác</x:v>
      </x:c>
      <x:c r="B10" s="18" t="n">
        <x:f>COUNTIF('Phản hồi học sinh'!$G$2:$G$201,A10)</x:f>
        <x:v>0</x:v>
      </x:c>
      <x:c r="C10" s="155" t="str">
        <x:f>IFERROR(SUMIF('Phản hồi học sinh'!$G$2:$G$201,A10,'Phản hồi học sinh'!$M$2:$M$201)/B10,"")</x:f>
      </x:c>
      <x:c r="D10" s="23" t="str">
        <x:f>IF(C10="","Chưa có dữ liệu",IF(C10&gt;=0.8,"Hứng thú cao",IF(C10&gt;=0.2,"Hứng thú nhẹ",IF(C10&gt;-0.2,"Trung tính",IF(C10&gt;-0.8,"Ít hứng thú","Rất ít hứng thú")))))</x:f>
        <x:v>Chưa có dữ liệu</x:v>
      </x:c>
    </x:row>
    <x:row r="11">
      <x:c r="A11" s="22" t="str">
        <x:v>Lãnh đạo và gây ảnh hưởng</x:v>
      </x:c>
      <x:c r="B11" s="18" t="n">
        <x:f>COUNTIF('Phản hồi học sinh'!$G$2:$G$201,A11)</x:f>
        <x:v>0</x:v>
      </x:c>
      <x:c r="C11" s="155" t="str">
        <x:f>IFERROR(SUMIF('Phản hồi học sinh'!$G$2:$G$201,A11,'Phản hồi học sinh'!$M$2:$M$201)/B11,"")</x:f>
      </x:c>
      <x:c r="D11" s="23" t="str">
        <x:f>IF(C11="","Chưa có dữ liệu",IF(C11&gt;=0.8,"Hứng thú cao",IF(C11&gt;=0.2,"Hứng thú nhẹ",IF(C11&gt;-0.2,"Trung tính",IF(C11&gt;-0.8,"Ít hứng thú","Rất ít hứng thú")))))</x:f>
        <x:v>Chưa có dữ liệu</x:v>
      </x:c>
    </x:row>
    <x:row r="12">
      <x:c r="A12" s="22" t="str">
        <x:v>Kiên trì và theo đuổi dài hạn</x:v>
      </x:c>
      <x:c r="B12" s="18" t="n">
        <x:f>COUNTIF('Phản hồi học sinh'!$G$2:$G$201,A12)</x:f>
        <x:v>0</x:v>
      </x:c>
      <x:c r="C12" s="155" t="str">
        <x:f>IFERROR(SUMIF('Phản hồi học sinh'!$G$2:$G$201,A12,'Phản hồi học sinh'!$M$2:$M$201)/B12,"")</x:f>
      </x:c>
      <x:c r="D12" s="23" t="str">
        <x:f>IF(C12="","Chưa có dữ liệu",IF(C12&gt;=0.8,"Hứng thú cao",IF(C12&gt;=0.2,"Hứng thú nhẹ",IF(C12&gt;-0.2,"Trung tính",IF(C12&gt;-0.8,"Ít hứng thú","Rất ít hứng thú")))))</x:f>
        <x:v>Chưa có dữ liệu</x:v>
      </x:c>
    </x:row>
    <x:row r="13">
      <x:c r="A13" s="22" t="str">
        <x:v>Phản biện và tự điều chỉnh</x:v>
      </x:c>
      <x:c r="B13" s="18" t="n">
        <x:f>COUNTIF('Phản hồi học sinh'!$G$2:$G$201,A13)</x:f>
        <x:v>0</x:v>
      </x:c>
      <x:c r="C13" s="155" t="str">
        <x:f>IFERROR(SUMIF('Phản hồi học sinh'!$G$2:$G$201,A13,'Phản hồi học sinh'!$M$2:$M$201)/B13,"")</x:f>
      </x:c>
      <x:c r="D13" s="23" t="str">
        <x:f>IF(C13="","Chưa có dữ liệu",IF(C13&gt;=0.8,"Hứng thú cao",IF(C13&gt;=0.2,"Hứng thú nhẹ",IF(C13&gt;-0.2,"Trung tính",IF(C13&gt;-0.8,"Ít hứng thú","Rất ít hứng thú")))))</x:f>
        <x:v>Chưa có dữ liệu</x:v>
      </x:c>
    </x:row>
    <x:row r="14">
      <x:c r="A14" s="22" t="str">
        <x:v>Tuân thủ và kiểm soát chất lượng</x:v>
      </x:c>
      <x:c r="B14" s="18" t="n">
        <x:f>COUNTIF('Phản hồi học sinh'!$G$2:$G$201,A14)</x:f>
        <x:v>0</x:v>
      </x:c>
      <x:c r="C14" s="155" t="str">
        <x:f>IFERROR(SUMIF('Phản hồi học sinh'!$G$2:$G$201,A14,'Phản hồi học sinh'!$M$2:$M$201)/B14,"")</x:f>
      </x:c>
      <x:c r="D14" s="23" t="str">
        <x:f>IF(C14="","Chưa có dữ liệu",IF(C14&gt;=0.8,"Hứng thú cao",IF(C14&gt;=0.2,"Hứng thú nhẹ",IF(C14&gt;-0.2,"Trung tính",IF(C14&gt;-0.8,"Ít hứng thú","Rất ít hứng thú")))))</x:f>
        <x:v>Chưa có dữ liệu</x:v>
      </x:c>
    </x:row>
    <x:row r="15">
      <x:c r="A15" s="24" t="str">
        <x:v>Thích ứng với môi trường làm việc</x:v>
      </x:c>
      <x:c r="B15" s="153" t="n">
        <x:f>COUNTIF('Phản hồi học sinh'!$G$2:$G$201,A15)</x:f>
        <x:v>0</x:v>
      </x:c>
      <x:c r="C15" s="156" t="str">
        <x:f>IFERROR(SUMIF('Phản hồi học sinh'!$G$2:$G$201,A15,'Phản hồi học sinh'!$M$2:$M$201)/B15,"")</x:f>
      </x:c>
      <x:c r="D15" s="25" t="str">
        <x:f>IF(C15="","Chưa có dữ liệu",IF(C15&gt;=0.8,"Hứng thú cao",IF(C15&gt;=0.2,"Hứng thú nhẹ",IF(C15&gt;-0.2,"Trung tính",IF(C15&gt;-0.8,"Ít hứng thú","Rất ít hứng thú")))))</x:f>
        <x:v>Chưa có dữ liệu</x:v>
      </x:c>
    </x:row>
    <x:row r="18">
      <x:c r="A18" s="163" t="str">
        <x:v>Lưu ý</x:v>
      </x:c>
      <x:c r="B18" s="163" t="str"/>
      <x:c r="C18" s="163" t="str"/>
      <x:c r="D18" s="163" t="str"/>
    </x:row>
    <x:row r="19" ht="28" customHeight="1">
      <x:c r="A19" s="170" t="str">
        <x:v>Điểm âm không đồng nghĩa học sinh thiếu năng lực.</x:v>
      </x:c>
      <x:c r="B19" s="170" t="str"/>
      <x:c r="C19" s="170" t="str"/>
      <x:c r="D19" s="170" t="str"/>
    </x:row>
    <x:row r="20" ht="28" customHeight="1">
      <x:c r="A20" s="170" t="str">
        <x:v>Chỉ nên kết luận xu hướng khi có nhiều phản hồi nhất quán ở nhiều nhiệm vụ.</x:v>
      </x:c>
      <x:c r="B20" s="170" t="str"/>
      <x:c r="C20" s="170" t="str"/>
      <x:c r="D20" s="170" t="str"/>
    </x:row>
  </x:sheetData>
  <x:mergeCells>
    <x:mergeCell ref="A1:D1"/>
    <x:mergeCell ref="A18:D18"/>
    <x:mergeCell ref="A19:D19"/>
    <x:mergeCell ref="A20:D20"/>
  </x:mergeCells>
  <x:conditionalFormatting sqref="C4:C15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75e131008ae54955"/>
</x:worksheet>
</file>